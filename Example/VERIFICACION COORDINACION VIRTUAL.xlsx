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ison silva\Desktop\PROGRAMACION 2026\ENERO\"/>
    </mc:Choice>
  </mc:AlternateContent>
  <xr:revisionPtr revIDLastSave="0" documentId="13_ncr:1_{D0615C01-48B2-43CD-AF03-3221469DFA75}" xr6:coauthVersionLast="47" xr6:coauthVersionMax="47" xr10:uidLastSave="{00000000-0000-0000-0000-000000000000}"/>
  <bookViews>
    <workbookView xWindow="-120" yWindow="-120" windowWidth="29040" windowHeight="15720" firstSheet="1" activeTab="2" xr2:uid="{DE054AD1-1EA0-4732-900D-E19F1C56CC5D}"/>
  </bookViews>
  <sheets>
    <sheet name="Hoja1" sheetId="1" state="hidden" r:id="rId1"/>
    <sheet name="Hoja2" sheetId="4" r:id="rId2"/>
    <sheet name="Consultar" sheetId="2" r:id="rId3"/>
    <sheet name="Hoja6" sheetId="8" r:id="rId4"/>
    <sheet name="Hoja7" sheetId="9" r:id="rId5"/>
    <sheet name="Hoja3" sheetId="5" state="hidden" r:id="rId6"/>
    <sheet name="PE04" sheetId="3" state="hidden" r:id="rId7"/>
    <sheet name="Hoja4" sheetId="6" state="hidden" r:id="rId8"/>
    <sheet name="Hoja5" sheetId="7" r:id="rId9"/>
    <sheet name="Hoja8" sheetId="10" r:id="rId10"/>
  </sheets>
  <externalReferences>
    <externalReference r:id="rId11"/>
    <externalReference r:id="rId12"/>
  </externalReferences>
  <definedNames>
    <definedName name="_xlnm._FilterDatabase" localSheetId="3" hidden="1">Hoja6!$A$1:$X$15</definedName>
    <definedName name="_xlnm._FilterDatabase" localSheetId="4" hidden="1">Hoja7!$A$2:$BX$256</definedName>
    <definedName name="_xlnm._FilterDatabase" localSheetId="6" hidden="1">'PE04'!$A$1:$G$353</definedName>
    <definedName name="_p7_2025">'[1]7mo25'!$A$1:$H$137</definedName>
    <definedName name="_p8_2025">'[1]8vo25'!$A$1:$H$143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BW256" i="9"/>
  <c r="BT256" i="9"/>
  <c r="BS256" i="9"/>
  <c r="BR256" i="9"/>
  <c r="BQ256" i="9"/>
  <c r="BW255" i="9"/>
  <c r="BT255" i="9"/>
  <c r="BS255" i="9"/>
  <c r="BR255" i="9"/>
  <c r="BQ255" i="9"/>
  <c r="BW254" i="9"/>
  <c r="BT254" i="9"/>
  <c r="BS254" i="9"/>
  <c r="BR254" i="9"/>
  <c r="BQ254" i="9"/>
  <c r="F254" i="9"/>
  <c r="BW253" i="9"/>
  <c r="BT253" i="9"/>
  <c r="BS253" i="9"/>
  <c r="BR253" i="9"/>
  <c r="BQ253" i="9"/>
  <c r="F253" i="9"/>
  <c r="BW252" i="9"/>
  <c r="BT252" i="9"/>
  <c r="BS252" i="9"/>
  <c r="BR252" i="9"/>
  <c r="BQ252" i="9"/>
  <c r="F252" i="9"/>
  <c r="BW251" i="9"/>
  <c r="BT251" i="9"/>
  <c r="BS251" i="9"/>
  <c r="BR251" i="9"/>
  <c r="BQ251" i="9"/>
  <c r="F251" i="9"/>
  <c r="BW250" i="9"/>
  <c r="BT250" i="9"/>
  <c r="BS250" i="9"/>
  <c r="BR250" i="9"/>
  <c r="BQ250" i="9"/>
  <c r="F250" i="9"/>
  <c r="BW249" i="9"/>
  <c r="BT249" i="9"/>
  <c r="BS249" i="9"/>
  <c r="BR249" i="9"/>
  <c r="BQ249" i="9"/>
  <c r="F249" i="9"/>
  <c r="BW248" i="9"/>
  <c r="BT248" i="9"/>
  <c r="BS248" i="9"/>
  <c r="BR248" i="9"/>
  <c r="BQ248" i="9"/>
  <c r="F248" i="9"/>
  <c r="BW247" i="9"/>
  <c r="BT247" i="9"/>
  <c r="BS247" i="9"/>
  <c r="BR247" i="9"/>
  <c r="BQ247" i="9"/>
  <c r="F247" i="9"/>
  <c r="BW246" i="9"/>
  <c r="BT246" i="9"/>
  <c r="BS246" i="9"/>
  <c r="BR246" i="9"/>
  <c r="BQ246" i="9"/>
  <c r="F246" i="9"/>
  <c r="BW245" i="9"/>
  <c r="BT245" i="9"/>
  <c r="BS245" i="9"/>
  <c r="BR245" i="9"/>
  <c r="BQ245" i="9"/>
  <c r="F245" i="9"/>
  <c r="BW244" i="9"/>
  <c r="BT244" i="9"/>
  <c r="BS244" i="9"/>
  <c r="BR244" i="9"/>
  <c r="BQ244" i="9"/>
  <c r="F244" i="9"/>
  <c r="BW243" i="9"/>
  <c r="BT243" i="9"/>
  <c r="BS243" i="9"/>
  <c r="BR243" i="9"/>
  <c r="BQ243" i="9"/>
  <c r="F243" i="9"/>
  <c r="BW242" i="9"/>
  <c r="BT242" i="9"/>
  <c r="BS242" i="9"/>
  <c r="BR242" i="9"/>
  <c r="BQ242" i="9"/>
  <c r="F242" i="9"/>
  <c r="BW241" i="9"/>
  <c r="BT241" i="9"/>
  <c r="BS241" i="9"/>
  <c r="BR241" i="9"/>
  <c r="BQ241" i="9"/>
  <c r="F241" i="9"/>
  <c r="BW240" i="9"/>
  <c r="BT240" i="9"/>
  <c r="BS240" i="9"/>
  <c r="BR240" i="9"/>
  <c r="BQ240" i="9"/>
  <c r="F240" i="9"/>
  <c r="BW239" i="9"/>
  <c r="BT239" i="9"/>
  <c r="BS239" i="9"/>
  <c r="BR239" i="9"/>
  <c r="BQ239" i="9"/>
  <c r="F239" i="9"/>
  <c r="BW238" i="9"/>
  <c r="BT238" i="9"/>
  <c r="BS238" i="9"/>
  <c r="BR238" i="9"/>
  <c r="BQ238" i="9"/>
  <c r="F238" i="9"/>
  <c r="BW237" i="9"/>
  <c r="BT237" i="9"/>
  <c r="BS237" i="9"/>
  <c r="BR237" i="9"/>
  <c r="BQ237" i="9"/>
  <c r="F237" i="9"/>
  <c r="BW236" i="9"/>
  <c r="BT236" i="9"/>
  <c r="BS236" i="9"/>
  <c r="BR236" i="9"/>
  <c r="BQ236" i="9"/>
  <c r="F236" i="9"/>
  <c r="BW235" i="9"/>
  <c r="BT235" i="9"/>
  <c r="BS235" i="9"/>
  <c r="BR235" i="9"/>
  <c r="BQ235" i="9"/>
  <c r="F235" i="9"/>
  <c r="BW234" i="9"/>
  <c r="BT234" i="9"/>
  <c r="BS234" i="9"/>
  <c r="BR234" i="9"/>
  <c r="BQ234" i="9"/>
  <c r="F234" i="9"/>
  <c r="BW233" i="9"/>
  <c r="BT233" i="9"/>
  <c r="BS233" i="9"/>
  <c r="BR233" i="9"/>
  <c r="BQ233" i="9"/>
  <c r="F233" i="9"/>
  <c r="BW232" i="9"/>
  <c r="BT232" i="9"/>
  <c r="BS232" i="9"/>
  <c r="BR232" i="9"/>
  <c r="BQ232" i="9"/>
  <c r="F232" i="9"/>
  <c r="BX231" i="9"/>
  <c r="BW231" i="9"/>
  <c r="BT231" i="9"/>
  <c r="BS231" i="9"/>
  <c r="BR231" i="9"/>
  <c r="BQ231" i="9"/>
  <c r="F231" i="9"/>
  <c r="BX230" i="9"/>
  <c r="BW230" i="9"/>
  <c r="BT230" i="9"/>
  <c r="BS230" i="9"/>
  <c r="BR230" i="9"/>
  <c r="BQ230" i="9"/>
  <c r="F230" i="9"/>
  <c r="BX229" i="9"/>
  <c r="BW229" i="9"/>
  <c r="BT229" i="9"/>
  <c r="BS229" i="9"/>
  <c r="BR229" i="9"/>
  <c r="BQ229" i="9"/>
  <c r="F229" i="9"/>
  <c r="BX228" i="9"/>
  <c r="BW228" i="9"/>
  <c r="BT228" i="9"/>
  <c r="BS228" i="9"/>
  <c r="BR228" i="9"/>
  <c r="BQ228" i="9"/>
  <c r="F228" i="9"/>
  <c r="BX227" i="9"/>
  <c r="BW227" i="9"/>
  <c r="BT227" i="9"/>
  <c r="BS227" i="9"/>
  <c r="BR227" i="9"/>
  <c r="BQ227" i="9"/>
  <c r="F227" i="9"/>
  <c r="BX226" i="9"/>
  <c r="BW226" i="9"/>
  <c r="BT226" i="9"/>
  <c r="BS226" i="9"/>
  <c r="BR226" i="9"/>
  <c r="BQ226" i="9"/>
  <c r="F226" i="9"/>
  <c r="BX225" i="9"/>
  <c r="BW225" i="9"/>
  <c r="BT225" i="9"/>
  <c r="BS225" i="9"/>
  <c r="BR225" i="9"/>
  <c r="BQ225" i="9"/>
  <c r="F225" i="9"/>
  <c r="BX224" i="9"/>
  <c r="BW224" i="9"/>
  <c r="BT224" i="9"/>
  <c r="BS224" i="9"/>
  <c r="BR224" i="9"/>
  <c r="BQ224" i="9"/>
  <c r="F224" i="9"/>
  <c r="BX223" i="9"/>
  <c r="BW223" i="9"/>
  <c r="BT223" i="9"/>
  <c r="BS223" i="9"/>
  <c r="BR223" i="9"/>
  <c r="BQ223" i="9"/>
  <c r="F223" i="9"/>
  <c r="BX222" i="9"/>
  <c r="BW222" i="9"/>
  <c r="BT222" i="9"/>
  <c r="BS222" i="9"/>
  <c r="BR222" i="9"/>
  <c r="BQ222" i="9"/>
  <c r="F222" i="9"/>
  <c r="BX221" i="9"/>
  <c r="BW221" i="9"/>
  <c r="BT221" i="9"/>
  <c r="BS221" i="9"/>
  <c r="BR221" i="9"/>
  <c r="BQ221" i="9"/>
  <c r="F221" i="9"/>
  <c r="BX220" i="9"/>
  <c r="BW220" i="9"/>
  <c r="BT220" i="9"/>
  <c r="BS220" i="9"/>
  <c r="BR220" i="9"/>
  <c r="BQ220" i="9"/>
  <c r="F220" i="9"/>
  <c r="BX219" i="9"/>
  <c r="BW219" i="9"/>
  <c r="BT219" i="9"/>
  <c r="BS219" i="9"/>
  <c r="BR219" i="9"/>
  <c r="BQ219" i="9"/>
  <c r="F219" i="9"/>
  <c r="BX218" i="9"/>
  <c r="BW218" i="9"/>
  <c r="BT218" i="9"/>
  <c r="BS218" i="9"/>
  <c r="BR218" i="9"/>
  <c r="BQ218" i="9"/>
  <c r="BB218" i="9"/>
  <c r="F218" i="9"/>
  <c r="BX217" i="9"/>
  <c r="BW217" i="9"/>
  <c r="BT217" i="9"/>
  <c r="BS217" i="9"/>
  <c r="BR217" i="9"/>
  <c r="BQ217" i="9"/>
  <c r="BB217" i="9"/>
  <c r="F217" i="9"/>
  <c r="BX216" i="9"/>
  <c r="BW216" i="9"/>
  <c r="BT216" i="9"/>
  <c r="BS216" i="9"/>
  <c r="BR216" i="9"/>
  <c r="BQ216" i="9"/>
  <c r="BB216" i="9"/>
  <c r="F216" i="9"/>
  <c r="BX215" i="9"/>
  <c r="BW215" i="9"/>
  <c r="BT215" i="9"/>
  <c r="BS215" i="9"/>
  <c r="BR215" i="9"/>
  <c r="BQ215" i="9"/>
  <c r="BB215" i="9"/>
  <c r="F215" i="9"/>
  <c r="BX214" i="9"/>
  <c r="BW214" i="9"/>
  <c r="BT214" i="9"/>
  <c r="BS214" i="9"/>
  <c r="BR214" i="9"/>
  <c r="BQ214" i="9"/>
  <c r="BB214" i="9"/>
  <c r="F214" i="9"/>
  <c r="BX213" i="9"/>
  <c r="BW213" i="9"/>
  <c r="BT213" i="9"/>
  <c r="BS213" i="9"/>
  <c r="BR213" i="9"/>
  <c r="BQ213" i="9"/>
  <c r="BB213" i="9"/>
  <c r="F213" i="9"/>
  <c r="BX212" i="9"/>
  <c r="BW212" i="9"/>
  <c r="BT212" i="9"/>
  <c r="BS212" i="9"/>
  <c r="BR212" i="9"/>
  <c r="BQ212" i="9"/>
  <c r="BB212" i="9"/>
  <c r="F212" i="9"/>
  <c r="BX211" i="9"/>
  <c r="BW211" i="9"/>
  <c r="BT211" i="9"/>
  <c r="BS211" i="9"/>
  <c r="BR211" i="9"/>
  <c r="BQ211" i="9"/>
  <c r="BB211" i="9"/>
  <c r="F211" i="9"/>
  <c r="BX210" i="9"/>
  <c r="BW210" i="9"/>
  <c r="BT210" i="9"/>
  <c r="BS210" i="9"/>
  <c r="BR210" i="9"/>
  <c r="BQ210" i="9"/>
  <c r="BB210" i="9"/>
  <c r="F210" i="9"/>
  <c r="BX209" i="9"/>
  <c r="BW209" i="9"/>
  <c r="BT209" i="9"/>
  <c r="BS209" i="9"/>
  <c r="BR209" i="9"/>
  <c r="BQ209" i="9"/>
  <c r="BB209" i="9"/>
  <c r="F209" i="9"/>
  <c r="BX208" i="9"/>
  <c r="BW208" i="9"/>
  <c r="BT208" i="9"/>
  <c r="BS208" i="9"/>
  <c r="BR208" i="9"/>
  <c r="BQ208" i="9"/>
  <c r="BB208" i="9"/>
  <c r="F208" i="9"/>
  <c r="BX207" i="9"/>
  <c r="BW207" i="9"/>
  <c r="BT207" i="9"/>
  <c r="BS207" i="9"/>
  <c r="BR207" i="9"/>
  <c r="BQ207" i="9"/>
  <c r="BB207" i="9"/>
  <c r="F207" i="9"/>
  <c r="BX206" i="9"/>
  <c r="BW206" i="9"/>
  <c r="BT206" i="9"/>
  <c r="BS206" i="9"/>
  <c r="BR206" i="9"/>
  <c r="BQ206" i="9"/>
  <c r="BB206" i="9"/>
  <c r="F206" i="9"/>
  <c r="BX205" i="9"/>
  <c r="BW205" i="9"/>
  <c r="BT205" i="9"/>
  <c r="BS205" i="9"/>
  <c r="BR205" i="9"/>
  <c r="BQ205" i="9"/>
  <c r="BB205" i="9"/>
  <c r="F205" i="9"/>
  <c r="BX204" i="9"/>
  <c r="BW204" i="9"/>
  <c r="BT204" i="9"/>
  <c r="BS204" i="9"/>
  <c r="BR204" i="9"/>
  <c r="BQ204" i="9"/>
  <c r="BB204" i="9"/>
  <c r="F204" i="9"/>
  <c r="BX203" i="9"/>
  <c r="BW203" i="9"/>
  <c r="BT203" i="9"/>
  <c r="BS203" i="9"/>
  <c r="BR203" i="9"/>
  <c r="BQ203" i="9"/>
  <c r="BB203" i="9"/>
  <c r="F203" i="9"/>
  <c r="BX202" i="9"/>
  <c r="BW202" i="9"/>
  <c r="BT202" i="9"/>
  <c r="BS202" i="9"/>
  <c r="BR202" i="9"/>
  <c r="BQ202" i="9"/>
  <c r="BB202" i="9"/>
  <c r="F202" i="9"/>
  <c r="BX201" i="9"/>
  <c r="BW201" i="9"/>
  <c r="BT201" i="9"/>
  <c r="BS201" i="9"/>
  <c r="BR201" i="9"/>
  <c r="BQ201" i="9"/>
  <c r="F201" i="9"/>
  <c r="BX200" i="9"/>
  <c r="BW200" i="9"/>
  <c r="BT200" i="9"/>
  <c r="BS200" i="9"/>
  <c r="BR200" i="9"/>
  <c r="BQ200" i="9"/>
  <c r="F200" i="9"/>
  <c r="BX199" i="9"/>
  <c r="BW199" i="9"/>
  <c r="BT199" i="9"/>
  <c r="BS199" i="9"/>
  <c r="BR199" i="9"/>
  <c r="BQ199" i="9"/>
  <c r="F199" i="9"/>
  <c r="BX198" i="9"/>
  <c r="BW198" i="9"/>
  <c r="BT198" i="9"/>
  <c r="BS198" i="9"/>
  <c r="BR198" i="9"/>
  <c r="BQ198" i="9"/>
  <c r="F198" i="9"/>
  <c r="BX197" i="9"/>
  <c r="BW197" i="9"/>
  <c r="BT197" i="9"/>
  <c r="BS197" i="9"/>
  <c r="BR197" i="9"/>
  <c r="BQ197" i="9"/>
  <c r="F197" i="9"/>
  <c r="BX196" i="9"/>
  <c r="BW196" i="9"/>
  <c r="BT196" i="9"/>
  <c r="BS196" i="9"/>
  <c r="BR196" i="9"/>
  <c r="BQ196" i="9"/>
  <c r="F196" i="9"/>
  <c r="BX195" i="9"/>
  <c r="BW195" i="9"/>
  <c r="BT195" i="9"/>
  <c r="BS195" i="9"/>
  <c r="BR195" i="9"/>
  <c r="BQ195" i="9"/>
  <c r="F195" i="9"/>
  <c r="BX194" i="9"/>
  <c r="BW194" i="9"/>
  <c r="BT194" i="9"/>
  <c r="BS194" i="9"/>
  <c r="BR194" i="9"/>
  <c r="BQ194" i="9"/>
  <c r="F194" i="9"/>
  <c r="BX193" i="9"/>
  <c r="BW193" i="9"/>
  <c r="BT193" i="9"/>
  <c r="BS193" i="9"/>
  <c r="BR193" i="9"/>
  <c r="BQ193" i="9"/>
  <c r="F193" i="9"/>
  <c r="BX192" i="9"/>
  <c r="BW192" i="9"/>
  <c r="BT192" i="9"/>
  <c r="BS192" i="9"/>
  <c r="BR192" i="9"/>
  <c r="BQ192" i="9"/>
  <c r="F192" i="9"/>
  <c r="BX191" i="9"/>
  <c r="BW191" i="9"/>
  <c r="BT191" i="9"/>
  <c r="BS191" i="9"/>
  <c r="BR191" i="9"/>
  <c r="BQ191" i="9"/>
  <c r="F191" i="9"/>
  <c r="BX190" i="9"/>
  <c r="BW190" i="9"/>
  <c r="BT190" i="9"/>
  <c r="BS190" i="9"/>
  <c r="BR190" i="9"/>
  <c r="BQ190" i="9"/>
  <c r="F190" i="9"/>
  <c r="BX189" i="9"/>
  <c r="BW189" i="9"/>
  <c r="BT189" i="9"/>
  <c r="BS189" i="9"/>
  <c r="BR189" i="9"/>
  <c r="BQ189" i="9"/>
  <c r="F189" i="9"/>
  <c r="BX188" i="9"/>
  <c r="BW188" i="9"/>
  <c r="BT188" i="9"/>
  <c r="BS188" i="9"/>
  <c r="BR188" i="9"/>
  <c r="BQ188" i="9"/>
  <c r="F188" i="9"/>
  <c r="BX187" i="9"/>
  <c r="BW187" i="9"/>
  <c r="BT187" i="9"/>
  <c r="BS187" i="9"/>
  <c r="BR187" i="9"/>
  <c r="BQ187" i="9"/>
  <c r="F187" i="9"/>
  <c r="BX186" i="9"/>
  <c r="BW186" i="9"/>
  <c r="BT186" i="9"/>
  <c r="BS186" i="9"/>
  <c r="BR186" i="9"/>
  <c r="BQ186" i="9"/>
  <c r="F186" i="9"/>
  <c r="BX185" i="9"/>
  <c r="BW185" i="9"/>
  <c r="BT185" i="9"/>
  <c r="BS185" i="9"/>
  <c r="BR185" i="9"/>
  <c r="BQ185" i="9"/>
  <c r="F185" i="9"/>
  <c r="BX184" i="9"/>
  <c r="BW184" i="9"/>
  <c r="BT184" i="9"/>
  <c r="BS184" i="9"/>
  <c r="BR184" i="9"/>
  <c r="BQ184" i="9"/>
  <c r="F184" i="9"/>
  <c r="BX183" i="9"/>
  <c r="BW183" i="9"/>
  <c r="BT183" i="9"/>
  <c r="BS183" i="9"/>
  <c r="BR183" i="9"/>
  <c r="BQ183" i="9"/>
  <c r="F183" i="9"/>
  <c r="BX182" i="9"/>
  <c r="BW182" i="9"/>
  <c r="BT182" i="9"/>
  <c r="BS182" i="9"/>
  <c r="BR182" i="9"/>
  <c r="BQ182" i="9"/>
  <c r="BB182" i="9"/>
  <c r="AX182" i="9"/>
  <c r="F182" i="9"/>
  <c r="BX181" i="9"/>
  <c r="BW181" i="9"/>
  <c r="BT181" i="9"/>
  <c r="BS181" i="9"/>
  <c r="BR181" i="9"/>
  <c r="BQ181" i="9"/>
  <c r="BB181" i="9"/>
  <c r="AX181" i="9"/>
  <c r="F181" i="9"/>
  <c r="BX180" i="9"/>
  <c r="BW180" i="9"/>
  <c r="BT180" i="9"/>
  <c r="BS180" i="9"/>
  <c r="BR180" i="9"/>
  <c r="BQ180" i="9"/>
  <c r="BB180" i="9"/>
  <c r="AX180" i="9"/>
  <c r="F180" i="9"/>
  <c r="BX179" i="9"/>
  <c r="BW179" i="9"/>
  <c r="BT179" i="9"/>
  <c r="BS179" i="9"/>
  <c r="BR179" i="9"/>
  <c r="BQ179" i="9"/>
  <c r="BB179" i="9"/>
  <c r="AX179" i="9"/>
  <c r="F179" i="9"/>
  <c r="BX178" i="9"/>
  <c r="BW178" i="9"/>
  <c r="BT178" i="9"/>
  <c r="BS178" i="9"/>
  <c r="BR178" i="9"/>
  <c r="BQ178" i="9"/>
  <c r="BB178" i="9"/>
  <c r="AX178" i="9"/>
  <c r="F178" i="9"/>
  <c r="BX177" i="9"/>
  <c r="BW177" i="9"/>
  <c r="BT177" i="9"/>
  <c r="BS177" i="9"/>
  <c r="BR177" i="9"/>
  <c r="BQ177" i="9"/>
  <c r="BB177" i="9"/>
  <c r="AX177" i="9"/>
  <c r="F177" i="9"/>
  <c r="BX176" i="9"/>
  <c r="BW176" i="9"/>
  <c r="BT176" i="9"/>
  <c r="BS176" i="9"/>
  <c r="BR176" i="9"/>
  <c r="BQ176" i="9"/>
  <c r="BB176" i="9"/>
  <c r="AX176" i="9"/>
  <c r="F176" i="9"/>
  <c r="BX175" i="9"/>
  <c r="BW175" i="9"/>
  <c r="BT175" i="9"/>
  <c r="BS175" i="9"/>
  <c r="BR175" i="9"/>
  <c r="BQ175" i="9"/>
  <c r="BB175" i="9"/>
  <c r="AX175" i="9"/>
  <c r="F175" i="9"/>
  <c r="BX174" i="9"/>
  <c r="BW174" i="9"/>
  <c r="BT174" i="9"/>
  <c r="BS174" i="9"/>
  <c r="BR174" i="9"/>
  <c r="BQ174" i="9"/>
  <c r="BB174" i="9"/>
  <c r="AX174" i="9"/>
  <c r="F174" i="9"/>
  <c r="BX173" i="9"/>
  <c r="BW173" i="9"/>
  <c r="BT173" i="9"/>
  <c r="BS173" i="9"/>
  <c r="BR173" i="9"/>
  <c r="BQ173" i="9"/>
  <c r="BB173" i="9"/>
  <c r="AX173" i="9"/>
  <c r="F173" i="9"/>
  <c r="BX172" i="9"/>
  <c r="BW172" i="9"/>
  <c r="BT172" i="9"/>
  <c r="BS172" i="9"/>
  <c r="BR172" i="9"/>
  <c r="BQ172" i="9"/>
  <c r="BB172" i="9"/>
  <c r="AX172" i="9"/>
  <c r="F172" i="9"/>
  <c r="BX171" i="9"/>
  <c r="BW171" i="9"/>
  <c r="BT171" i="9"/>
  <c r="BS171" i="9"/>
  <c r="BR171" i="9"/>
  <c r="BQ171" i="9"/>
  <c r="BB171" i="9"/>
  <c r="AX171" i="9"/>
  <c r="F171" i="9"/>
  <c r="BX170" i="9"/>
  <c r="BW170" i="9"/>
  <c r="BT170" i="9"/>
  <c r="BS170" i="9"/>
  <c r="BR170" i="9"/>
  <c r="BQ170" i="9"/>
  <c r="BB170" i="9"/>
  <c r="AX170" i="9"/>
  <c r="F170" i="9"/>
  <c r="BX169" i="9"/>
  <c r="BW169" i="9"/>
  <c r="BT169" i="9"/>
  <c r="BS169" i="9"/>
  <c r="BR169" i="9"/>
  <c r="BQ169" i="9"/>
  <c r="BB169" i="9"/>
  <c r="AX169" i="9"/>
  <c r="F169" i="9"/>
  <c r="BX168" i="9"/>
  <c r="BW168" i="9"/>
  <c r="BT168" i="9"/>
  <c r="BS168" i="9"/>
  <c r="BR168" i="9"/>
  <c r="BQ168" i="9"/>
  <c r="BB168" i="9"/>
  <c r="AX168" i="9"/>
  <c r="F168" i="9"/>
  <c r="BX167" i="9"/>
  <c r="BW167" i="9"/>
  <c r="BT167" i="9"/>
  <c r="BS167" i="9"/>
  <c r="BR167" i="9"/>
  <c r="BQ167" i="9"/>
  <c r="AX167" i="9"/>
  <c r="F167" i="9"/>
  <c r="BX166" i="9"/>
  <c r="BW166" i="9"/>
  <c r="BT166" i="9"/>
  <c r="BS166" i="9"/>
  <c r="BR166" i="9"/>
  <c r="BQ166" i="9"/>
  <c r="AX166" i="9"/>
  <c r="F166" i="9"/>
  <c r="BX165" i="9"/>
  <c r="BW165" i="9"/>
  <c r="BT165" i="9"/>
  <c r="BS165" i="9"/>
  <c r="BR165" i="9"/>
  <c r="BQ165" i="9"/>
  <c r="BB165" i="9"/>
  <c r="AX165" i="9"/>
  <c r="F165" i="9"/>
  <c r="BX164" i="9"/>
  <c r="BW164" i="9"/>
  <c r="BT164" i="9"/>
  <c r="BS164" i="9"/>
  <c r="BR164" i="9"/>
  <c r="BQ164" i="9"/>
  <c r="BB164" i="9"/>
  <c r="AX164" i="9"/>
  <c r="F164" i="9"/>
  <c r="BX163" i="9"/>
  <c r="BW163" i="9"/>
  <c r="BT163" i="9"/>
  <c r="BS163" i="9"/>
  <c r="BR163" i="9"/>
  <c r="BQ163" i="9"/>
  <c r="BB163" i="9"/>
  <c r="AX163" i="9"/>
  <c r="F163" i="9"/>
  <c r="BX162" i="9"/>
  <c r="BW162" i="9"/>
  <c r="BT162" i="9"/>
  <c r="BS162" i="9"/>
  <c r="BR162" i="9"/>
  <c r="BQ162" i="9"/>
  <c r="BB162" i="9"/>
  <c r="AX162" i="9"/>
  <c r="F162" i="9"/>
  <c r="BX161" i="9"/>
  <c r="BW161" i="9"/>
  <c r="BT161" i="9"/>
  <c r="BS161" i="9"/>
  <c r="BR161" i="9"/>
  <c r="BQ161" i="9"/>
  <c r="BB161" i="9"/>
  <c r="AX161" i="9"/>
  <c r="F161" i="9"/>
  <c r="BX160" i="9"/>
  <c r="BW160" i="9"/>
  <c r="BT160" i="9"/>
  <c r="BS160" i="9"/>
  <c r="BR160" i="9"/>
  <c r="BQ160" i="9"/>
  <c r="BB160" i="9"/>
  <c r="AX160" i="9"/>
  <c r="F160" i="9"/>
  <c r="BX159" i="9"/>
  <c r="BW159" i="9"/>
  <c r="BT159" i="9"/>
  <c r="BS159" i="9"/>
  <c r="BR159" i="9"/>
  <c r="BQ159" i="9"/>
  <c r="BB159" i="9"/>
  <c r="AX159" i="9"/>
  <c r="F159" i="9"/>
  <c r="BX158" i="9"/>
  <c r="BW158" i="9"/>
  <c r="BT158" i="9"/>
  <c r="BS158" i="9"/>
  <c r="BR158" i="9"/>
  <c r="BQ158" i="9"/>
  <c r="BB158" i="9"/>
  <c r="AX158" i="9"/>
  <c r="F158" i="9"/>
  <c r="BX157" i="9"/>
  <c r="BW157" i="9"/>
  <c r="BT157" i="9"/>
  <c r="BS157" i="9"/>
  <c r="BR157" i="9"/>
  <c r="BQ157" i="9"/>
  <c r="BB157" i="9"/>
  <c r="AX157" i="9"/>
  <c r="F157" i="9"/>
  <c r="BX156" i="9"/>
  <c r="BW156" i="9"/>
  <c r="BT156" i="9"/>
  <c r="BS156" i="9"/>
  <c r="BR156" i="9"/>
  <c r="BQ156" i="9"/>
  <c r="BB156" i="9"/>
  <c r="AX156" i="9"/>
  <c r="F156" i="9"/>
  <c r="BX155" i="9"/>
  <c r="BW155" i="9"/>
  <c r="BT155" i="9"/>
  <c r="BS155" i="9"/>
  <c r="BR155" i="9"/>
  <c r="BQ155" i="9"/>
  <c r="BB155" i="9"/>
  <c r="AX155" i="9"/>
  <c r="F155" i="9"/>
  <c r="BX154" i="9"/>
  <c r="BW154" i="9"/>
  <c r="BT154" i="9"/>
  <c r="BS154" i="9"/>
  <c r="BR154" i="9"/>
  <c r="BQ154" i="9"/>
  <c r="BB154" i="9"/>
  <c r="AX154" i="9"/>
  <c r="F154" i="9"/>
  <c r="BX153" i="9"/>
  <c r="BW153" i="9"/>
  <c r="BT153" i="9"/>
  <c r="BS153" i="9"/>
  <c r="BR153" i="9"/>
  <c r="BQ153" i="9"/>
  <c r="AX153" i="9"/>
  <c r="F153" i="9"/>
  <c r="BX152" i="9"/>
  <c r="BW152" i="9"/>
  <c r="BT152" i="9"/>
  <c r="BS152" i="9"/>
  <c r="BR152" i="9"/>
  <c r="BQ152" i="9"/>
  <c r="BB152" i="9"/>
  <c r="AX152" i="9"/>
  <c r="F152" i="9"/>
  <c r="BX151" i="9"/>
  <c r="BW151" i="9"/>
  <c r="BT151" i="9"/>
  <c r="BS151" i="9"/>
  <c r="BR151" i="9"/>
  <c r="BQ151" i="9"/>
  <c r="BB151" i="9"/>
  <c r="AX151" i="9"/>
  <c r="F151" i="9"/>
  <c r="BX150" i="9"/>
  <c r="BW150" i="9"/>
  <c r="BT150" i="9"/>
  <c r="BS150" i="9"/>
  <c r="BR150" i="9"/>
  <c r="BQ150" i="9"/>
  <c r="AX150" i="9"/>
  <c r="F150" i="9"/>
  <c r="BX149" i="9"/>
  <c r="BW149" i="9"/>
  <c r="BT149" i="9"/>
  <c r="BS149" i="9"/>
  <c r="BR149" i="9"/>
  <c r="BQ149" i="9"/>
  <c r="BB149" i="9"/>
  <c r="AX149" i="9"/>
  <c r="F149" i="9"/>
  <c r="BX148" i="9"/>
  <c r="BW148" i="9"/>
  <c r="BT148" i="9"/>
  <c r="BS148" i="9"/>
  <c r="BR148" i="9"/>
  <c r="BQ148" i="9"/>
  <c r="BB148" i="9"/>
  <c r="AX148" i="9"/>
  <c r="F148" i="9"/>
  <c r="BX147" i="9"/>
  <c r="BW147" i="9"/>
  <c r="BT147" i="9"/>
  <c r="BS147" i="9"/>
  <c r="BR147" i="9"/>
  <c r="BQ147" i="9"/>
  <c r="BB147" i="9"/>
  <c r="AX147" i="9"/>
  <c r="D19" i="2"/>
  <c r="F147" i="9"/>
  <c r="BX146" i="9"/>
  <c r="BW146" i="9"/>
  <c r="BT146" i="9"/>
  <c r="BS146" i="9"/>
  <c r="BR146" i="9"/>
  <c r="BQ146" i="9"/>
  <c r="BB146" i="9"/>
  <c r="AX146" i="9"/>
  <c r="F146" i="9"/>
  <c r="BX145" i="9"/>
  <c r="BW145" i="9"/>
  <c r="BT145" i="9"/>
  <c r="BS145" i="9"/>
  <c r="BR145" i="9"/>
  <c r="BQ145" i="9"/>
  <c r="BB145" i="9"/>
  <c r="AX145" i="9"/>
  <c r="F145" i="9"/>
  <c r="BX144" i="9"/>
  <c r="BW144" i="9"/>
  <c r="BT144" i="9"/>
  <c r="BS144" i="9"/>
  <c r="BR144" i="9"/>
  <c r="BQ144" i="9"/>
  <c r="BB144" i="9"/>
  <c r="AX144" i="9"/>
  <c r="F144" i="9"/>
  <c r="BX143" i="9"/>
  <c r="BW143" i="9"/>
  <c r="BT143" i="9"/>
  <c r="BS143" i="9"/>
  <c r="BR143" i="9"/>
  <c r="BQ143" i="9"/>
  <c r="BB143" i="9"/>
  <c r="AX143" i="9"/>
  <c r="F143" i="9"/>
  <c r="BX142" i="9"/>
  <c r="BW142" i="9"/>
  <c r="BT142" i="9"/>
  <c r="BS142" i="9"/>
  <c r="BR142" i="9"/>
  <c r="BQ142" i="9"/>
  <c r="AX142" i="9"/>
  <c r="F142" i="9"/>
  <c r="BX141" i="9"/>
  <c r="BW141" i="9"/>
  <c r="BT141" i="9"/>
  <c r="BS141" i="9"/>
  <c r="BR141" i="9"/>
  <c r="BQ141" i="9"/>
  <c r="BB141" i="9"/>
  <c r="AX141" i="9"/>
  <c r="F141" i="9"/>
  <c r="BX140" i="9"/>
  <c r="BW140" i="9"/>
  <c r="BT140" i="9"/>
  <c r="BS140" i="9"/>
  <c r="BR140" i="9"/>
  <c r="BQ140" i="9"/>
  <c r="BB140" i="9"/>
  <c r="AX140" i="9"/>
  <c r="F140" i="9"/>
  <c r="BX139" i="9"/>
  <c r="BW139" i="9"/>
  <c r="BT139" i="9"/>
  <c r="BS139" i="9"/>
  <c r="BR139" i="9"/>
  <c r="BQ139" i="9"/>
  <c r="BB139" i="9"/>
  <c r="AX139" i="9"/>
  <c r="F139" i="9"/>
  <c r="BX138" i="9"/>
  <c r="BW138" i="9"/>
  <c r="BT138" i="9"/>
  <c r="BS138" i="9"/>
  <c r="BR138" i="9"/>
  <c r="BQ138" i="9"/>
  <c r="BB138" i="9"/>
  <c r="AX138" i="9"/>
  <c r="F138" i="9"/>
  <c r="BX137" i="9"/>
  <c r="BW137" i="9"/>
  <c r="BT137" i="9"/>
  <c r="BS137" i="9"/>
  <c r="BR137" i="9"/>
  <c r="BQ137" i="9"/>
  <c r="BB137" i="9"/>
  <c r="AX137" i="9"/>
  <c r="F137" i="9"/>
  <c r="BX136" i="9"/>
  <c r="BW136" i="9"/>
  <c r="BT136" i="9"/>
  <c r="BS136" i="9"/>
  <c r="BR136" i="9"/>
  <c r="BQ136" i="9"/>
  <c r="BB136" i="9"/>
  <c r="AX136" i="9"/>
  <c r="F136" i="9"/>
  <c r="BX135" i="9"/>
  <c r="BW135" i="9"/>
  <c r="BT135" i="9"/>
  <c r="BS135" i="9"/>
  <c r="BR135" i="9"/>
  <c r="BQ135" i="9"/>
  <c r="BB135" i="9"/>
  <c r="AX135" i="9"/>
  <c r="F135" i="9"/>
  <c r="BX134" i="9"/>
  <c r="BW134" i="9"/>
  <c r="BT134" i="9"/>
  <c r="BS134" i="9"/>
  <c r="BR134" i="9"/>
  <c r="BQ134" i="9"/>
  <c r="BB134" i="9"/>
  <c r="AX134" i="9"/>
  <c r="F134" i="9"/>
  <c r="BX133" i="9"/>
  <c r="BW133" i="9"/>
  <c r="BT133" i="9"/>
  <c r="BS133" i="9"/>
  <c r="BR133" i="9"/>
  <c r="BQ133" i="9"/>
  <c r="AX133" i="9"/>
  <c r="F133" i="9"/>
  <c r="BX132" i="9"/>
  <c r="BW132" i="9"/>
  <c r="BT132" i="9"/>
  <c r="BS132" i="9"/>
  <c r="BR132" i="9"/>
  <c r="BQ132" i="9"/>
  <c r="AX132" i="9"/>
  <c r="F132" i="9"/>
  <c r="BX131" i="9"/>
  <c r="BW131" i="9"/>
  <c r="BT131" i="9"/>
  <c r="BS131" i="9"/>
  <c r="BR131" i="9"/>
  <c r="BQ131" i="9"/>
  <c r="BB131" i="9"/>
  <c r="AX131" i="9"/>
  <c r="F131" i="9"/>
  <c r="BX130" i="9"/>
  <c r="BW130" i="9"/>
  <c r="BT130" i="9"/>
  <c r="BS130" i="9"/>
  <c r="BR130" i="9"/>
  <c r="BQ130" i="9"/>
  <c r="AX130" i="9"/>
  <c r="F130" i="9"/>
  <c r="BX129" i="9"/>
  <c r="BW129" i="9"/>
  <c r="BT129" i="9"/>
  <c r="BS129" i="9"/>
  <c r="BR129" i="9"/>
  <c r="BQ129" i="9"/>
  <c r="BB129" i="9"/>
  <c r="AX129" i="9"/>
  <c r="F129" i="9"/>
  <c r="BX128" i="9"/>
  <c r="BW128" i="9"/>
  <c r="BT128" i="9"/>
  <c r="BS128" i="9"/>
  <c r="BR128" i="9"/>
  <c r="BQ128" i="9"/>
  <c r="BB128" i="9"/>
  <c r="AX128" i="9"/>
  <c r="F128" i="9"/>
  <c r="BX127" i="9"/>
  <c r="BW127" i="9"/>
  <c r="BT127" i="9"/>
  <c r="BS127" i="9"/>
  <c r="BR127" i="9"/>
  <c r="BQ127" i="9"/>
  <c r="BB127" i="9"/>
  <c r="AX127" i="9"/>
  <c r="F127" i="9"/>
  <c r="BX126" i="9"/>
  <c r="BW126" i="9"/>
  <c r="BT126" i="9"/>
  <c r="BS126" i="9"/>
  <c r="BR126" i="9"/>
  <c r="BQ126" i="9"/>
  <c r="BB126" i="9"/>
  <c r="AX126" i="9"/>
  <c r="F126" i="9"/>
  <c r="BX125" i="9"/>
  <c r="BW125" i="9"/>
  <c r="BT125" i="9"/>
  <c r="BS125" i="9"/>
  <c r="BR125" i="9"/>
  <c r="BQ125" i="9"/>
  <c r="BB125" i="9"/>
  <c r="AX125" i="9"/>
  <c r="F125" i="9"/>
  <c r="BX124" i="9"/>
  <c r="BW124" i="9"/>
  <c r="BT124" i="9"/>
  <c r="BS124" i="9"/>
  <c r="BR124" i="9"/>
  <c r="BQ124" i="9"/>
  <c r="AX124" i="9"/>
  <c r="F124" i="9"/>
  <c r="BX123" i="9"/>
  <c r="BW123" i="9"/>
  <c r="BT123" i="9"/>
  <c r="BS123" i="9"/>
  <c r="BR123" i="9"/>
  <c r="BQ123" i="9"/>
  <c r="BB123" i="9"/>
  <c r="AX123" i="9"/>
  <c r="F123" i="9"/>
  <c r="BX122" i="9"/>
  <c r="BW122" i="9"/>
  <c r="BT122" i="9"/>
  <c r="BS122" i="9"/>
  <c r="BR122" i="9"/>
  <c r="BQ122" i="9"/>
  <c r="BB122" i="9"/>
  <c r="AX122" i="9"/>
  <c r="F122" i="9"/>
  <c r="BX121" i="9"/>
  <c r="BW121" i="9"/>
  <c r="BT121" i="9"/>
  <c r="BS121" i="9"/>
  <c r="BR121" i="9"/>
  <c r="BQ121" i="9"/>
  <c r="BB121" i="9"/>
  <c r="BX120" i="9"/>
  <c r="BW120" i="9"/>
  <c r="BT120" i="9"/>
  <c r="BS120" i="9"/>
  <c r="BR120" i="9"/>
  <c r="BQ120" i="9"/>
  <c r="BB120" i="9"/>
  <c r="BX119" i="9"/>
  <c r="BW119" i="9"/>
  <c r="BT119" i="9"/>
  <c r="BS119" i="9"/>
  <c r="BR119" i="9"/>
  <c r="BQ119" i="9"/>
  <c r="BB119" i="9"/>
  <c r="BX118" i="9"/>
  <c r="BW118" i="9"/>
  <c r="BT118" i="9"/>
  <c r="BS118" i="9"/>
  <c r="BR118" i="9"/>
  <c r="BQ118" i="9"/>
  <c r="BB118" i="9"/>
  <c r="BX117" i="9"/>
  <c r="BW117" i="9"/>
  <c r="BT117" i="9"/>
  <c r="BS117" i="9"/>
  <c r="BR117" i="9"/>
  <c r="BQ117" i="9"/>
  <c r="BB117" i="9"/>
  <c r="AX117" i="9"/>
  <c r="BX116" i="9"/>
  <c r="BW116" i="9"/>
  <c r="BT116" i="9"/>
  <c r="BS116" i="9"/>
  <c r="BR116" i="9"/>
  <c r="BQ116" i="9"/>
  <c r="BB116" i="9"/>
  <c r="AX116" i="9"/>
  <c r="BX115" i="9"/>
  <c r="BW115" i="9"/>
  <c r="BT115" i="9"/>
  <c r="BS115" i="9"/>
  <c r="BR115" i="9"/>
  <c r="BQ115" i="9"/>
  <c r="BB115" i="9"/>
  <c r="AX115" i="9"/>
  <c r="F115" i="9"/>
  <c r="BX114" i="9"/>
  <c r="BW114" i="9"/>
  <c r="BT114" i="9"/>
  <c r="BS114" i="9"/>
  <c r="BR114" i="9"/>
  <c r="BQ114" i="9"/>
  <c r="BB114" i="9"/>
  <c r="AX114" i="9"/>
  <c r="F114" i="9"/>
  <c r="BX113" i="9"/>
  <c r="BW113" i="9"/>
  <c r="BT113" i="9"/>
  <c r="BS113" i="9"/>
  <c r="BR113" i="9"/>
  <c r="BQ113" i="9"/>
  <c r="BB113" i="9"/>
  <c r="AX113" i="9"/>
  <c r="F113" i="9"/>
  <c r="BX112" i="9"/>
  <c r="BW112" i="9"/>
  <c r="BT112" i="9"/>
  <c r="BS112" i="9"/>
  <c r="BR112" i="9"/>
  <c r="BQ112" i="9"/>
  <c r="BB112" i="9"/>
  <c r="AX112" i="9"/>
  <c r="F112" i="9"/>
  <c r="BX111" i="9"/>
  <c r="BW111" i="9"/>
  <c r="BT111" i="9"/>
  <c r="BS111" i="9"/>
  <c r="BR111" i="9"/>
  <c r="BQ111" i="9"/>
  <c r="BB111" i="9"/>
  <c r="AX111" i="9"/>
  <c r="F111" i="9"/>
  <c r="BX110" i="9"/>
  <c r="BW110" i="9"/>
  <c r="BT110" i="9"/>
  <c r="BS110" i="9"/>
  <c r="BR110" i="9"/>
  <c r="BQ110" i="9"/>
  <c r="BB110" i="9"/>
  <c r="AX110" i="9"/>
  <c r="F110" i="9"/>
  <c r="BX109" i="9"/>
  <c r="BW109" i="9"/>
  <c r="BT109" i="9"/>
  <c r="BS109" i="9"/>
  <c r="BR109" i="9"/>
  <c r="BQ109" i="9"/>
  <c r="AX109" i="9"/>
  <c r="F109" i="9"/>
  <c r="BX108" i="9"/>
  <c r="BW108" i="9"/>
  <c r="BT108" i="9"/>
  <c r="BS108" i="9"/>
  <c r="BR108" i="9"/>
  <c r="BQ108" i="9"/>
  <c r="BB108" i="9"/>
  <c r="AX108" i="9"/>
  <c r="F108" i="9"/>
  <c r="BX107" i="9"/>
  <c r="BW107" i="9"/>
  <c r="BT107" i="9"/>
  <c r="BS107" i="9"/>
  <c r="BR107" i="9"/>
  <c r="BQ107" i="9"/>
  <c r="BB107" i="9"/>
  <c r="AX107" i="9"/>
  <c r="F107" i="9"/>
  <c r="BX106" i="9"/>
  <c r="BW106" i="9"/>
  <c r="BT106" i="9"/>
  <c r="BS106" i="9"/>
  <c r="BR106" i="9"/>
  <c r="BQ106" i="9"/>
  <c r="BB106" i="9"/>
  <c r="AX106" i="9"/>
  <c r="F106" i="9"/>
  <c r="BX105" i="9"/>
  <c r="BW105" i="9"/>
  <c r="BT105" i="9"/>
  <c r="BS105" i="9"/>
  <c r="BR105" i="9"/>
  <c r="BQ105" i="9"/>
  <c r="BB105" i="9"/>
  <c r="AX105" i="9"/>
  <c r="F105" i="9"/>
  <c r="BX104" i="9"/>
  <c r="BW104" i="9"/>
  <c r="BT104" i="9"/>
  <c r="BS104" i="9"/>
  <c r="BR104" i="9"/>
  <c r="BQ104" i="9"/>
  <c r="BB104" i="9"/>
  <c r="AX104" i="9"/>
  <c r="F104" i="9"/>
  <c r="BX103" i="9"/>
  <c r="BW103" i="9"/>
  <c r="BT103" i="9"/>
  <c r="BS103" i="9"/>
  <c r="BR103" i="9"/>
  <c r="BQ103" i="9"/>
  <c r="BB103" i="9"/>
  <c r="AX103" i="9"/>
  <c r="F103" i="9"/>
  <c r="BX102" i="9"/>
  <c r="BW102" i="9"/>
  <c r="BT102" i="9"/>
  <c r="BS102" i="9"/>
  <c r="BQ102" i="9"/>
  <c r="BB102" i="9"/>
  <c r="AX102" i="9"/>
  <c r="F102" i="9"/>
  <c r="BX101" i="9"/>
  <c r="BW101" i="9"/>
  <c r="BT101" i="9"/>
  <c r="BS101" i="9"/>
  <c r="BQ101" i="9"/>
  <c r="BB101" i="9"/>
  <c r="AX101" i="9"/>
  <c r="F101" i="9"/>
  <c r="BX100" i="9"/>
  <c r="BW100" i="9"/>
  <c r="BT100" i="9"/>
  <c r="BS100" i="9"/>
  <c r="BQ100" i="9"/>
  <c r="BB100" i="9"/>
  <c r="AX100" i="9"/>
  <c r="F100" i="9"/>
  <c r="BX99" i="9"/>
  <c r="BW99" i="9"/>
  <c r="BT99" i="9"/>
  <c r="BS99" i="9"/>
  <c r="BQ99" i="9"/>
  <c r="BB99" i="9"/>
  <c r="AX99" i="9"/>
  <c r="F99" i="9"/>
  <c r="BX98" i="9"/>
  <c r="BW98" i="9"/>
  <c r="BT98" i="9"/>
  <c r="BS98" i="9"/>
  <c r="BQ98" i="9"/>
  <c r="BB98" i="9"/>
  <c r="AX98" i="9"/>
  <c r="F98" i="9"/>
  <c r="BX97" i="9"/>
  <c r="BW97" i="9"/>
  <c r="BT97" i="9"/>
  <c r="BS97" i="9"/>
  <c r="BQ97" i="9"/>
  <c r="BB97" i="9"/>
  <c r="AX97" i="9"/>
  <c r="F97" i="9"/>
  <c r="BX96" i="9"/>
  <c r="BW96" i="9"/>
  <c r="BT96" i="9"/>
  <c r="BS96" i="9"/>
  <c r="BQ96" i="9"/>
  <c r="BB96" i="9"/>
  <c r="AX96" i="9"/>
  <c r="F96" i="9"/>
  <c r="BX95" i="9"/>
  <c r="BW95" i="9"/>
  <c r="BT95" i="9"/>
  <c r="BS95" i="9"/>
  <c r="BQ95" i="9"/>
  <c r="BB95" i="9"/>
  <c r="AX95" i="9"/>
  <c r="F95" i="9"/>
  <c r="BX94" i="9"/>
  <c r="BW94" i="9"/>
  <c r="BT94" i="9"/>
  <c r="BS94" i="9"/>
  <c r="BQ94" i="9"/>
  <c r="BB94" i="9"/>
  <c r="AX94" i="9"/>
  <c r="F94" i="9"/>
  <c r="BX93" i="9"/>
  <c r="BW93" i="9"/>
  <c r="BT93" i="9"/>
  <c r="BS93" i="9"/>
  <c r="BQ93" i="9"/>
  <c r="BB93" i="9"/>
  <c r="AX93" i="9"/>
  <c r="F93" i="9"/>
  <c r="BX92" i="9"/>
  <c r="BW92" i="9"/>
  <c r="BT92" i="9"/>
  <c r="BS92" i="9"/>
  <c r="BQ92" i="9"/>
  <c r="BB92" i="9"/>
  <c r="AX92" i="9"/>
  <c r="F92" i="9"/>
  <c r="BX91" i="9"/>
  <c r="BW91" i="9"/>
  <c r="BT91" i="9"/>
  <c r="BS91" i="9"/>
  <c r="BQ91" i="9"/>
  <c r="BB91" i="9"/>
  <c r="AX91" i="9"/>
  <c r="F91" i="9"/>
  <c r="BX90" i="9"/>
  <c r="BW90" i="9"/>
  <c r="BT90" i="9"/>
  <c r="BS90" i="9"/>
  <c r="BR90" i="9"/>
  <c r="BQ90" i="9"/>
  <c r="AX90" i="9"/>
  <c r="F90" i="9"/>
  <c r="BX89" i="9"/>
  <c r="BW89" i="9"/>
  <c r="BT89" i="9"/>
  <c r="BS89" i="9"/>
  <c r="BR89" i="9"/>
  <c r="BQ89" i="9"/>
  <c r="AX89" i="9"/>
  <c r="F89" i="9"/>
  <c r="BX88" i="9"/>
  <c r="BW88" i="9"/>
  <c r="BT88" i="9"/>
  <c r="BS88" i="9"/>
  <c r="BR88" i="9"/>
  <c r="BQ88" i="9"/>
  <c r="BB88" i="9"/>
  <c r="AX88" i="9"/>
  <c r="F88" i="9"/>
  <c r="BX87" i="9"/>
  <c r="BW87" i="9"/>
  <c r="BT87" i="9"/>
  <c r="BS87" i="9"/>
  <c r="BR87" i="9"/>
  <c r="BQ87" i="9"/>
  <c r="BB87" i="9"/>
  <c r="AX87" i="9"/>
  <c r="F87" i="9"/>
  <c r="BX86" i="9"/>
  <c r="BW86" i="9"/>
  <c r="BT86" i="9"/>
  <c r="BS86" i="9"/>
  <c r="BQ86" i="9"/>
  <c r="BB86" i="9"/>
  <c r="AX86" i="9"/>
  <c r="F86" i="9"/>
  <c r="BX85" i="9"/>
  <c r="BW85" i="9"/>
  <c r="BT85" i="9"/>
  <c r="BS85" i="9"/>
  <c r="BR85" i="9"/>
  <c r="BQ85" i="9"/>
  <c r="BB85" i="9"/>
  <c r="AX85" i="9"/>
  <c r="F85" i="9"/>
  <c r="BX84" i="9"/>
  <c r="BW84" i="9"/>
  <c r="BT84" i="9"/>
  <c r="BS84" i="9"/>
  <c r="BR84" i="9"/>
  <c r="BQ84" i="9"/>
  <c r="BB84" i="9"/>
  <c r="AX84" i="9"/>
  <c r="F84" i="9"/>
  <c r="BX83" i="9"/>
  <c r="BW83" i="9"/>
  <c r="BT83" i="9"/>
  <c r="BS83" i="9"/>
  <c r="BR83" i="9"/>
  <c r="BQ83" i="9"/>
  <c r="BB83" i="9"/>
  <c r="AX83" i="9"/>
  <c r="F83" i="9"/>
  <c r="BX82" i="9"/>
  <c r="BW82" i="9"/>
  <c r="BT82" i="9"/>
  <c r="BS82" i="9"/>
  <c r="BQ82" i="9"/>
  <c r="BB82" i="9"/>
  <c r="AX82" i="9"/>
  <c r="F82" i="9"/>
  <c r="BX81" i="9"/>
  <c r="BW81" i="9"/>
  <c r="BT81" i="9"/>
  <c r="BS81" i="9"/>
  <c r="BQ81" i="9"/>
  <c r="BB81" i="9"/>
  <c r="AX81" i="9"/>
  <c r="F81" i="9"/>
  <c r="BX80" i="9"/>
  <c r="BW80" i="9"/>
  <c r="BT80" i="9"/>
  <c r="BS80" i="9"/>
  <c r="BQ80" i="9"/>
  <c r="BB80" i="9"/>
  <c r="AX80" i="9"/>
  <c r="F80" i="9"/>
  <c r="BX79" i="9"/>
  <c r="BW79" i="9"/>
  <c r="BS79" i="9"/>
  <c r="BR79" i="9"/>
  <c r="BQ79" i="9"/>
  <c r="AX79" i="9"/>
  <c r="BT78" i="9"/>
  <c r="AX78" i="9"/>
  <c r="F78" i="9"/>
  <c r="BX77" i="9"/>
  <c r="BW77" i="9"/>
  <c r="BQ77" i="9"/>
  <c r="BB77" i="9"/>
  <c r="AX77" i="9"/>
  <c r="BX76" i="9"/>
  <c r="BW76" i="9"/>
  <c r="BT76" i="9"/>
  <c r="BQ76" i="9"/>
  <c r="BB76" i="9"/>
  <c r="AX76" i="9"/>
  <c r="BT75" i="9"/>
  <c r="BQ75" i="9"/>
  <c r="BB75" i="9"/>
  <c r="AX75" i="9"/>
  <c r="BT74" i="9"/>
  <c r="BQ74" i="9"/>
  <c r="AX74" i="9"/>
  <c r="AX73" i="9"/>
  <c r="F73" i="9"/>
  <c r="AX72" i="9"/>
  <c r="F72" i="9"/>
  <c r="AX71" i="9"/>
  <c r="F71" i="9"/>
  <c r="AX70" i="9"/>
  <c r="F70" i="9"/>
  <c r="AX69" i="9"/>
  <c r="F69" i="9"/>
  <c r="AX68" i="9"/>
  <c r="F68" i="9"/>
  <c r="AX67" i="9"/>
  <c r="F67" i="9"/>
  <c r="AX66" i="9"/>
  <c r="F66" i="9"/>
  <c r="AX65" i="9"/>
  <c r="F65" i="9"/>
  <c r="AX64" i="9"/>
  <c r="F64" i="9"/>
  <c r="AX63" i="9"/>
  <c r="F63" i="9"/>
  <c r="AX62" i="9"/>
  <c r="F62" i="9"/>
  <c r="AX61" i="9"/>
  <c r="F61" i="9"/>
  <c r="AX60" i="9"/>
  <c r="F60" i="9"/>
  <c r="AX59" i="9"/>
  <c r="F59" i="9"/>
  <c r="AX58" i="9"/>
  <c r="F58" i="9"/>
  <c r="AX57" i="9"/>
  <c r="F57" i="9"/>
  <c r="BB56" i="9"/>
  <c r="AX56" i="9"/>
  <c r="F56" i="9"/>
  <c r="AX55" i="9"/>
  <c r="F55" i="9"/>
  <c r="AX54" i="9"/>
  <c r="F54" i="9"/>
  <c r="BB53" i="9"/>
  <c r="AX53" i="9"/>
  <c r="F53" i="9"/>
  <c r="BB52" i="9"/>
  <c r="AX52" i="9"/>
  <c r="F52" i="9"/>
  <c r="BB51" i="9"/>
  <c r="AX51" i="9"/>
  <c r="F51" i="9"/>
  <c r="AX50" i="9"/>
  <c r="F50" i="9"/>
  <c r="AX49" i="9"/>
  <c r="F49" i="9"/>
  <c r="AX48" i="9"/>
  <c r="F48" i="9"/>
  <c r="AX47" i="9"/>
  <c r="F47" i="9"/>
  <c r="AX46" i="9"/>
  <c r="F46" i="9"/>
  <c r="AX45" i="9"/>
  <c r="F45" i="9"/>
  <c r="AX44" i="9"/>
  <c r="F44" i="9"/>
  <c r="AX43" i="9"/>
  <c r="F43" i="9"/>
  <c r="AX42" i="9"/>
  <c r="F42" i="9"/>
  <c r="AX41" i="9"/>
  <c r="F41" i="9"/>
  <c r="AX40" i="9"/>
  <c r="F40" i="9"/>
  <c r="AX39" i="9"/>
  <c r="F39" i="9"/>
  <c r="AX38" i="9"/>
  <c r="F38" i="9"/>
  <c r="AX37" i="9"/>
  <c r="F37" i="9"/>
  <c r="AX36" i="9"/>
  <c r="F36" i="9"/>
  <c r="AX35" i="9"/>
  <c r="F35" i="9"/>
  <c r="BB34" i="9"/>
  <c r="AX34" i="9"/>
  <c r="F34" i="9"/>
  <c r="AX33" i="9"/>
  <c r="F33" i="9"/>
  <c r="AX32" i="9"/>
  <c r="F32" i="9"/>
  <c r="BB31" i="9"/>
  <c r="AX31" i="9"/>
  <c r="F31" i="9"/>
  <c r="AX30" i="9"/>
  <c r="F30" i="9"/>
  <c r="AX29" i="9"/>
  <c r="F29" i="9"/>
  <c r="BB28" i="9"/>
  <c r="AX28" i="9"/>
  <c r="F28" i="9"/>
  <c r="AX27" i="9"/>
  <c r="F27" i="9"/>
  <c r="BB26" i="9"/>
  <c r="AX26" i="9"/>
  <c r="F26" i="9"/>
  <c r="BB25" i="9"/>
  <c r="AX25" i="9"/>
  <c r="F25" i="9"/>
  <c r="BB24" i="9"/>
  <c r="AX24" i="9"/>
  <c r="F24" i="9"/>
  <c r="BB23" i="9"/>
  <c r="AX23" i="9"/>
  <c r="F23" i="9"/>
  <c r="BB22" i="9"/>
  <c r="AX22" i="9"/>
  <c r="F22" i="9"/>
  <c r="AX21" i="9"/>
  <c r="F21" i="9"/>
  <c r="AX20" i="9"/>
  <c r="F20" i="9"/>
  <c r="AX19" i="9"/>
  <c r="F19" i="9"/>
  <c r="AX18" i="9"/>
  <c r="F18" i="9"/>
  <c r="BB17" i="9"/>
  <c r="AX17" i="9"/>
  <c r="BB16" i="9"/>
  <c r="AX16" i="9"/>
  <c r="BB15" i="9"/>
  <c r="AX15" i="9"/>
  <c r="BB14" i="9"/>
  <c r="AX14" i="9"/>
  <c r="BB13" i="9"/>
  <c r="AX13" i="9"/>
  <c r="BB12" i="9"/>
  <c r="AX12" i="9"/>
  <c r="BB11" i="9"/>
  <c r="AX11" i="9"/>
  <c r="BB10" i="9"/>
  <c r="AX10" i="9"/>
  <c r="BB9" i="9"/>
  <c r="AX9" i="9"/>
  <c r="BB8" i="9"/>
  <c r="AX8" i="9"/>
  <c r="BB7" i="9"/>
  <c r="AX7" i="9"/>
  <c r="BB6" i="9"/>
  <c r="AX6" i="9"/>
  <c r="BB5" i="9"/>
  <c r="AX5" i="9"/>
  <c r="BB4" i="9"/>
  <c r="AX4" i="9"/>
  <c r="BB3" i="9"/>
  <c r="AX3" i="9"/>
  <c r="D24" i="2" l="1" a="1"/>
  <c r="D24" i="2" s="1"/>
  <c r="G24" i="2" a="1"/>
  <c r="G24" i="2" s="1"/>
  <c r="V15" i="8" l="1"/>
  <c r="V14" i="8"/>
  <c r="V13" i="8"/>
  <c r="V12" i="8"/>
  <c r="V11" i="8"/>
  <c r="V10" i="8"/>
  <c r="V9" i="8"/>
  <c r="V8" i="8"/>
  <c r="V7" i="8"/>
  <c r="V6" i="8"/>
  <c r="V5" i="8"/>
  <c r="V4" i="8"/>
  <c r="V3" i="8"/>
  <c r="V2" i="8"/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" i="7"/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3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BB218" i="5"/>
  <c r="F218" i="5"/>
  <c r="BB217" i="5"/>
  <c r="F217" i="5"/>
  <c r="BB216" i="5"/>
  <c r="F216" i="5"/>
  <c r="BB215" i="5"/>
  <c r="F215" i="5"/>
  <c r="BB214" i="5"/>
  <c r="F214" i="5"/>
  <c r="BB213" i="5"/>
  <c r="F213" i="5"/>
  <c r="BB212" i="5"/>
  <c r="F212" i="5"/>
  <c r="BB211" i="5"/>
  <c r="F211" i="5"/>
  <c r="BB210" i="5"/>
  <c r="F210" i="5"/>
  <c r="BB209" i="5"/>
  <c r="F209" i="5"/>
  <c r="BB208" i="5"/>
  <c r="F208" i="5"/>
  <c r="BB207" i="5"/>
  <c r="F207" i="5"/>
  <c r="BB206" i="5"/>
  <c r="F206" i="5"/>
  <c r="BB205" i="5"/>
  <c r="F205" i="5"/>
  <c r="BB204" i="5"/>
  <c r="F204" i="5"/>
  <c r="BB203" i="5"/>
  <c r="F203" i="5"/>
  <c r="BB202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BB182" i="5"/>
  <c r="AX182" i="5"/>
  <c r="F182" i="5"/>
  <c r="BB181" i="5"/>
  <c r="AX181" i="5"/>
  <c r="F181" i="5"/>
  <c r="BB180" i="5"/>
  <c r="AX180" i="5"/>
  <c r="F180" i="5"/>
  <c r="BB179" i="5"/>
  <c r="AX179" i="5"/>
  <c r="F179" i="5"/>
  <c r="BB178" i="5"/>
  <c r="AX178" i="5"/>
  <c r="F178" i="5"/>
  <c r="BB177" i="5"/>
  <c r="AX177" i="5"/>
  <c r="F177" i="5"/>
  <c r="BB176" i="5"/>
  <c r="AX176" i="5"/>
  <c r="F176" i="5"/>
  <c r="BB175" i="5"/>
  <c r="AX175" i="5"/>
  <c r="F175" i="5"/>
  <c r="BB174" i="5"/>
  <c r="AX174" i="5"/>
  <c r="F174" i="5"/>
  <c r="BB173" i="5"/>
  <c r="AX173" i="5"/>
  <c r="F173" i="5"/>
  <c r="BB172" i="5"/>
  <c r="AX172" i="5"/>
  <c r="F172" i="5"/>
  <c r="BB171" i="5"/>
  <c r="AX171" i="5"/>
  <c r="F171" i="5"/>
  <c r="BB170" i="5"/>
  <c r="AX170" i="5"/>
  <c r="F170" i="5"/>
  <c r="BB169" i="5"/>
  <c r="AX169" i="5"/>
  <c r="F169" i="5"/>
  <c r="BB168" i="5"/>
  <c r="AX168" i="5"/>
  <c r="F168" i="5"/>
  <c r="AX167" i="5"/>
  <c r="F167" i="5"/>
  <c r="AX166" i="5"/>
  <c r="F166" i="5"/>
  <c r="BB165" i="5"/>
  <c r="AX165" i="5"/>
  <c r="F165" i="5"/>
  <c r="BB164" i="5"/>
  <c r="AX164" i="5"/>
  <c r="F164" i="5"/>
  <c r="BB163" i="5"/>
  <c r="AX163" i="5"/>
  <c r="F163" i="5"/>
  <c r="BB162" i="5"/>
  <c r="AX162" i="5"/>
  <c r="F162" i="5"/>
  <c r="BB161" i="5"/>
  <c r="AX161" i="5"/>
  <c r="F161" i="5"/>
  <c r="BB160" i="5"/>
  <c r="AX160" i="5"/>
  <c r="F160" i="5"/>
  <c r="BB159" i="5"/>
  <c r="AX159" i="5"/>
  <c r="F159" i="5"/>
  <c r="BB158" i="5"/>
  <c r="AX158" i="5"/>
  <c r="F158" i="5"/>
  <c r="BB157" i="5"/>
  <c r="AX157" i="5"/>
  <c r="F157" i="5"/>
  <c r="BB156" i="5"/>
  <c r="AX156" i="5"/>
  <c r="F156" i="5"/>
  <c r="BB155" i="5"/>
  <c r="AX155" i="5"/>
  <c r="F155" i="5"/>
  <c r="BB154" i="5"/>
  <c r="AX154" i="5"/>
  <c r="F154" i="5"/>
  <c r="AX153" i="5"/>
  <c r="F153" i="5"/>
  <c r="BB152" i="5"/>
  <c r="AX152" i="5"/>
  <c r="F152" i="5"/>
  <c r="BB151" i="5"/>
  <c r="AX151" i="5"/>
  <c r="F151" i="5"/>
  <c r="AX150" i="5"/>
  <c r="F150" i="5"/>
  <c r="BB149" i="5"/>
  <c r="AX149" i="5"/>
  <c r="F149" i="5"/>
  <c r="BB148" i="5"/>
  <c r="AX148" i="5"/>
  <c r="F148" i="5"/>
  <c r="BB147" i="5"/>
  <c r="AX147" i="5"/>
  <c r="F147" i="5"/>
  <c r="BB146" i="5"/>
  <c r="AX146" i="5"/>
  <c r="F146" i="5"/>
  <c r="BB145" i="5"/>
  <c r="AX145" i="5"/>
  <c r="F145" i="5"/>
  <c r="BB144" i="5"/>
  <c r="AX144" i="5"/>
  <c r="F144" i="5"/>
  <c r="BB143" i="5"/>
  <c r="AX143" i="5"/>
  <c r="F143" i="5"/>
  <c r="AX142" i="5"/>
  <c r="F142" i="5"/>
  <c r="BB141" i="5"/>
  <c r="AX141" i="5"/>
  <c r="F141" i="5"/>
  <c r="BB140" i="5"/>
  <c r="AX140" i="5"/>
  <c r="F140" i="5"/>
  <c r="BB139" i="5"/>
  <c r="AX139" i="5"/>
  <c r="F139" i="5"/>
  <c r="BB138" i="5"/>
  <c r="AX138" i="5"/>
  <c r="F138" i="5"/>
  <c r="BB137" i="5"/>
  <c r="AX137" i="5"/>
  <c r="F137" i="5"/>
  <c r="BB136" i="5"/>
  <c r="AX136" i="5"/>
  <c r="F136" i="5"/>
  <c r="BB135" i="5"/>
  <c r="AX135" i="5"/>
  <c r="F135" i="5"/>
  <c r="BB134" i="5"/>
  <c r="AX134" i="5"/>
  <c r="F134" i="5"/>
  <c r="AX133" i="5"/>
  <c r="F133" i="5"/>
  <c r="AX132" i="5"/>
  <c r="F132" i="5"/>
  <c r="BB131" i="5"/>
  <c r="AX131" i="5"/>
  <c r="F131" i="5"/>
  <c r="AX130" i="5"/>
  <c r="F130" i="5"/>
  <c r="BB129" i="5"/>
  <c r="AX129" i="5"/>
  <c r="F129" i="5"/>
  <c r="BB128" i="5"/>
  <c r="AX128" i="5"/>
  <c r="F128" i="5"/>
  <c r="BB127" i="5"/>
  <c r="AX127" i="5"/>
  <c r="F127" i="5"/>
  <c r="BB126" i="5"/>
  <c r="AX126" i="5"/>
  <c r="F126" i="5"/>
  <c r="BB125" i="5"/>
  <c r="AX125" i="5"/>
  <c r="F125" i="5"/>
  <c r="AX124" i="5"/>
  <c r="F124" i="5"/>
  <c r="BB123" i="5"/>
  <c r="AX123" i="5"/>
  <c r="F123" i="5"/>
  <c r="BB122" i="5"/>
  <c r="AX122" i="5"/>
  <c r="F122" i="5"/>
  <c r="BB121" i="5"/>
  <c r="BB120" i="5"/>
  <c r="BB119" i="5"/>
  <c r="BB118" i="5"/>
  <c r="BB117" i="5"/>
  <c r="AX117" i="5"/>
  <c r="BB116" i="5"/>
  <c r="AX116" i="5"/>
  <c r="BB115" i="5"/>
  <c r="AX115" i="5"/>
  <c r="F115" i="5"/>
  <c r="BB114" i="5"/>
  <c r="AX114" i="5"/>
  <c r="F114" i="5"/>
  <c r="BB113" i="5"/>
  <c r="AX113" i="5"/>
  <c r="F113" i="5"/>
  <c r="BB112" i="5"/>
  <c r="AX112" i="5"/>
  <c r="F112" i="5"/>
  <c r="BB111" i="5"/>
  <c r="AX111" i="5"/>
  <c r="F111" i="5"/>
  <c r="BB110" i="5"/>
  <c r="AX110" i="5"/>
  <c r="F110" i="5"/>
  <c r="AX109" i="5"/>
  <c r="F109" i="5"/>
  <c r="BB108" i="5"/>
  <c r="AX108" i="5"/>
  <c r="F108" i="5"/>
  <c r="BB107" i="5"/>
  <c r="AX107" i="5"/>
  <c r="F107" i="5"/>
  <c r="BB106" i="5"/>
  <c r="AX106" i="5"/>
  <c r="F106" i="5"/>
  <c r="BB105" i="5"/>
  <c r="AX105" i="5"/>
  <c r="F105" i="5"/>
  <c r="BB104" i="5"/>
  <c r="AX104" i="5"/>
  <c r="F104" i="5"/>
  <c r="BB103" i="5"/>
  <c r="AX103" i="5"/>
  <c r="F103" i="5"/>
  <c r="BB102" i="5"/>
  <c r="AX102" i="5"/>
  <c r="F102" i="5"/>
  <c r="BB101" i="5"/>
  <c r="AX101" i="5"/>
  <c r="F101" i="5"/>
  <c r="BB100" i="5"/>
  <c r="AX100" i="5"/>
  <c r="F100" i="5"/>
  <c r="BB99" i="5"/>
  <c r="AX99" i="5"/>
  <c r="F99" i="5"/>
  <c r="BB98" i="5"/>
  <c r="AX98" i="5"/>
  <c r="F98" i="5"/>
  <c r="BB97" i="5"/>
  <c r="AX97" i="5"/>
  <c r="F97" i="5"/>
  <c r="BB96" i="5"/>
  <c r="AX96" i="5"/>
  <c r="F96" i="5"/>
  <c r="BB95" i="5"/>
  <c r="AX95" i="5"/>
  <c r="F95" i="5"/>
  <c r="BB94" i="5"/>
  <c r="AX94" i="5"/>
  <c r="F94" i="5"/>
  <c r="BB93" i="5"/>
  <c r="AX93" i="5"/>
  <c r="F93" i="5"/>
  <c r="BB92" i="5"/>
  <c r="AX92" i="5"/>
  <c r="F92" i="5"/>
  <c r="BB91" i="5"/>
  <c r="AX91" i="5"/>
  <c r="F91" i="5"/>
  <c r="AX90" i="5"/>
  <c r="F90" i="5"/>
  <c r="AX89" i="5"/>
  <c r="F89" i="5"/>
  <c r="BB88" i="5"/>
  <c r="AX88" i="5"/>
  <c r="F88" i="5"/>
  <c r="BB87" i="5"/>
  <c r="AX87" i="5"/>
  <c r="F87" i="5"/>
  <c r="BB86" i="5"/>
  <c r="AX86" i="5"/>
  <c r="F86" i="5"/>
  <c r="BB85" i="5"/>
  <c r="AX85" i="5"/>
  <c r="F85" i="5"/>
  <c r="BB84" i="5"/>
  <c r="AX84" i="5"/>
  <c r="F84" i="5"/>
  <c r="BB83" i="5"/>
  <c r="AX83" i="5"/>
  <c r="F83" i="5"/>
  <c r="BB82" i="5"/>
  <c r="AX82" i="5"/>
  <c r="F82" i="5"/>
  <c r="BB81" i="5"/>
  <c r="AX81" i="5"/>
  <c r="F81" i="5"/>
  <c r="BB80" i="5"/>
  <c r="AX80" i="5"/>
  <c r="F80" i="5"/>
  <c r="AX79" i="5"/>
  <c r="AX78" i="5"/>
  <c r="F78" i="5"/>
  <c r="BB77" i="5"/>
  <c r="AX77" i="5"/>
  <c r="BB76" i="5"/>
  <c r="AX76" i="5"/>
  <c r="BB75" i="5"/>
  <c r="AX75" i="5"/>
  <c r="BL74" i="5" a="1"/>
  <c r="BL74" i="5" s="1"/>
  <c r="AX74" i="5"/>
  <c r="AX73" i="5"/>
  <c r="F73" i="5"/>
  <c r="AX72" i="5"/>
  <c r="F72" i="5"/>
  <c r="AX71" i="5"/>
  <c r="F71" i="5"/>
  <c r="AX70" i="5"/>
  <c r="F70" i="5"/>
  <c r="AX69" i="5"/>
  <c r="F69" i="5"/>
  <c r="AX68" i="5"/>
  <c r="F68" i="5"/>
  <c r="AX67" i="5"/>
  <c r="F67" i="5"/>
  <c r="AX66" i="5"/>
  <c r="F66" i="5"/>
  <c r="AX65" i="5"/>
  <c r="F65" i="5"/>
  <c r="AX64" i="5"/>
  <c r="F64" i="5"/>
  <c r="AX63" i="5"/>
  <c r="F63" i="5"/>
  <c r="AX62" i="5"/>
  <c r="F62" i="5"/>
  <c r="AX61" i="5"/>
  <c r="F61" i="5"/>
  <c r="AX60" i="5"/>
  <c r="F60" i="5"/>
  <c r="AX59" i="5"/>
  <c r="F59" i="5"/>
  <c r="AX58" i="5"/>
  <c r="F58" i="5"/>
  <c r="AX57" i="5"/>
  <c r="F57" i="5"/>
  <c r="BB56" i="5"/>
  <c r="AX56" i="5"/>
  <c r="F56" i="5"/>
  <c r="AX55" i="5"/>
  <c r="F55" i="5"/>
  <c r="AX54" i="5"/>
  <c r="F54" i="5"/>
  <c r="BB53" i="5"/>
  <c r="AX53" i="5"/>
  <c r="F53" i="5"/>
  <c r="BB52" i="5"/>
  <c r="AX52" i="5"/>
  <c r="F52" i="5"/>
  <c r="BB51" i="5"/>
  <c r="AX51" i="5"/>
  <c r="F51" i="5"/>
  <c r="AX50" i="5"/>
  <c r="F50" i="5"/>
  <c r="AX49" i="5"/>
  <c r="F49" i="5"/>
  <c r="AX48" i="5"/>
  <c r="F48" i="5"/>
  <c r="AX47" i="5"/>
  <c r="F47" i="5"/>
  <c r="AX46" i="5"/>
  <c r="F46" i="5"/>
  <c r="AX45" i="5"/>
  <c r="F45" i="5"/>
  <c r="AX44" i="5"/>
  <c r="F44" i="5"/>
  <c r="AX43" i="5"/>
  <c r="F43" i="5"/>
  <c r="AX42" i="5"/>
  <c r="F42" i="5"/>
  <c r="AX41" i="5"/>
  <c r="F41" i="5"/>
  <c r="AX40" i="5"/>
  <c r="F40" i="5"/>
  <c r="AX39" i="5"/>
  <c r="F39" i="5"/>
  <c r="AX38" i="5"/>
  <c r="F38" i="5"/>
  <c r="AX37" i="5"/>
  <c r="F37" i="5"/>
  <c r="AX36" i="5"/>
  <c r="F36" i="5"/>
  <c r="AX35" i="5"/>
  <c r="F35" i="5"/>
  <c r="BB34" i="5"/>
  <c r="AX34" i="5"/>
  <c r="F34" i="5"/>
  <c r="AX33" i="5"/>
  <c r="F33" i="5"/>
  <c r="AX32" i="5"/>
  <c r="F32" i="5"/>
  <c r="BB31" i="5"/>
  <c r="AX31" i="5"/>
  <c r="F31" i="5"/>
  <c r="AX30" i="5"/>
  <c r="F30" i="5"/>
  <c r="AX29" i="5"/>
  <c r="F29" i="5"/>
  <c r="BB28" i="5"/>
  <c r="AX28" i="5"/>
  <c r="F28" i="5"/>
  <c r="AX27" i="5"/>
  <c r="F27" i="5"/>
  <c r="BB26" i="5"/>
  <c r="AX26" i="5"/>
  <c r="F26" i="5"/>
  <c r="BB25" i="5"/>
  <c r="AX25" i="5"/>
  <c r="F25" i="5"/>
  <c r="BB24" i="5"/>
  <c r="AX24" i="5"/>
  <c r="F24" i="5"/>
  <c r="BB23" i="5"/>
  <c r="AX23" i="5"/>
  <c r="F23" i="5"/>
  <c r="BB22" i="5"/>
  <c r="AX22" i="5"/>
  <c r="F22" i="5"/>
  <c r="AX21" i="5"/>
  <c r="F21" i="5"/>
  <c r="AX20" i="5"/>
  <c r="F20" i="5"/>
  <c r="AX19" i="5"/>
  <c r="F19" i="5"/>
  <c r="AX18" i="5"/>
  <c r="F18" i="5"/>
  <c r="BB17" i="5"/>
  <c r="AX17" i="5"/>
  <c r="BB16" i="5"/>
  <c r="AX16" i="5"/>
  <c r="BB15" i="5"/>
  <c r="AX15" i="5"/>
  <c r="BB14" i="5"/>
  <c r="AX14" i="5"/>
  <c r="BB13" i="5"/>
  <c r="AX13" i="5"/>
  <c r="BB12" i="5"/>
  <c r="AX12" i="5"/>
  <c r="BB11" i="5"/>
  <c r="AX11" i="5"/>
  <c r="BB10" i="5"/>
  <c r="AX10" i="5"/>
  <c r="BB9" i="5"/>
  <c r="AX9" i="5"/>
  <c r="BB8" i="5"/>
  <c r="AX8" i="5"/>
  <c r="BB7" i="5"/>
  <c r="AX7" i="5"/>
  <c r="BB6" i="5"/>
  <c r="AX6" i="5"/>
  <c r="BB5" i="5"/>
  <c r="AX5" i="5"/>
  <c r="BB4" i="5"/>
  <c r="AX4" i="5"/>
  <c r="BB3" i="5"/>
  <c r="AX3" i="5"/>
  <c r="D12" i="2" l="1"/>
  <c r="D9" i="2" l="1"/>
  <c r="D17" i="2" s="1" a="1"/>
  <c r="D17" i="2" s="1"/>
  <c r="D16" i="2" l="1"/>
  <c r="D11" i="2"/>
  <c r="D10" i="2"/>
  <c r="D14" i="2"/>
  <c r="D13" i="2"/>
  <c r="D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tc={63BC60F0-50F3-4280-8D54-403FC3C0F389}</author>
    <author>tc={27E7A7FD-05DB-47BF-B519-476F536EF4F2}</author>
    <author>tc={F7873A85-A766-4EAD-8E7D-7E65B3857D62}</author>
    <author>tc={5C8CFA1D-8253-4F85-B1FC-BB5AD795AC00}</author>
    <author>Leonardo Hernández Silva</author>
    <author>tc={97C67868-E361-42CC-A9F4-3589C760EF24}</author>
    <author>tc={57834EC2-8537-430C-ABEA-1C55AEF1F108}</author>
    <author>tc={B90C3E83-A16F-4C56-AC3C-62A5C277D5E5}</author>
    <author>tc={87F5B42B-FC93-4C20-BC01-B26D40C09CDE}</author>
    <author>tc={11C66A1F-A97C-4C2B-A572-F6E4C6E780CC}</author>
    <author>tc={3AC2AF40-BC75-4BE6-9F3C-658EFFFCCC57}</author>
    <author>tc={C07CA20A-25DD-45F3-AFAA-63D712EA7637}</author>
    <author>tc={3CC4B5EB-F7F6-49C3-A7FD-133C9A14960D}</author>
  </authors>
  <commentList>
    <comment ref="A15" authorId="0" shapeId="0" xr:uid="{63BC60F0-50F3-4280-8D54-403FC3C0F3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16" authorId="1" shapeId="0" xr:uid="{27E7A7FD-05DB-47BF-B519-476F536EF4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17" authorId="2" shapeId="0" xr:uid="{F7873A85-A766-4EAD-8E7D-7E65B3857D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L18" authorId="3" shapeId="0" xr:uid="{5C8CFA1D-8253-4F85-B1FC-BB5AD795AC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78" authorId="4" shapeId="0" xr:uid="{BF999EF9-7FA6-4B31-B667-2E75D0415799}">
      <text>
        <r>
          <rPr>
            <b/>
            <sz val="9"/>
            <color indexed="81"/>
            <rFont val="Tahoma"/>
            <family val="2"/>
          </rPr>
          <t>Leonardo Hernández Silva:</t>
        </r>
        <r>
          <rPr>
            <sz val="9"/>
            <color indexed="81"/>
            <rFont val="Tahoma"/>
            <family val="2"/>
          </rPr>
          <t xml:space="preserve">
TEAM FOODS COLOMBIA S.A
</t>
        </r>
      </text>
    </comment>
    <comment ref="AL157" authorId="5" shapeId="0" xr:uid="{97C67868-E361-42CC-A9F4-3589C760EF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57" authorId="6" shapeId="0" xr:uid="{57834EC2-8537-430C-ABEA-1C55AEF1F1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58" authorId="7" shapeId="0" xr:uid="{B90C3E83-A16F-4C56-AC3C-62A5C277D5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58" authorId="8" shapeId="0" xr:uid="{87F5B42B-FC93-4C20-BC01-B26D40C09C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60" authorId="9" shapeId="0" xr:uid="{11C66A1F-A97C-4C2B-A572-F6E4C6E780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60" authorId="10" shapeId="0" xr:uid="{3AC2AF40-BC75-4BE6-9F3C-658EFFFCCC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62" authorId="11" shapeId="0" xr:uid="{C07CA20A-25DD-45F3-AFAA-63D712EA76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62" authorId="12" shapeId="0" xr:uid="{3CC4B5EB-F7F6-49C3-A7FD-133C9A1496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tc={AF6FCB70-E41F-481D-B7E0-58F690E16BA1}</author>
    <author>tc={0D74ED25-63DF-413A-A597-EE1A6F2A9D71}</author>
    <author>tc={701B65A0-4C46-4F81-87E5-8EE77B85F026}</author>
    <author>tc={7724CD3A-C2D4-4201-92DD-07AD0C5C6A24}</author>
    <author>Leonardo Hernández Silva</author>
    <author>tc={BB124B4F-1F30-4732-8203-A0842A01DBD3}</author>
    <author>tc={51FA4F72-2D59-47F4-B16C-F8360048559A}</author>
    <author>tc={5D70A743-1EC4-487A-BD9C-61E2941B4DF0}</author>
    <author>tc={76FA8D25-EE8C-451A-AC6A-A8D8CAF0709D}</author>
    <author>tc={217BA3DD-A859-4295-8101-974DF63F2585}</author>
    <author>tc={F768E07F-DA4A-46F6-84D6-87E54F16B6BC}</author>
    <author>tc={2ECDD6CE-3135-4CC9-9687-963A7F6BFC68}</author>
    <author>tc={226F6957-B7D9-4BB3-BFA7-3AE9CC1C61CB}</author>
  </authors>
  <commentList>
    <comment ref="A15" authorId="0" shapeId="0" xr:uid="{AF6FCB70-E41F-481D-B7E0-58F690E16B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16" authorId="1" shapeId="0" xr:uid="{0D74ED25-63DF-413A-A597-EE1A6F2A9D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17" authorId="2" shapeId="0" xr:uid="{701B65A0-4C46-4F81-87E5-8EE77B85F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postobon</t>
      </text>
    </comment>
    <comment ref="AL18" authorId="3" shapeId="0" xr:uid="{7724CD3A-C2D4-4201-92DD-07AD0C5C6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78" authorId="4" shapeId="0" xr:uid="{31B49F05-7127-4C66-84E7-C79F9CBB0857}">
      <text>
        <r>
          <rPr>
            <b/>
            <sz val="9"/>
            <color indexed="81"/>
            <rFont val="Tahoma"/>
            <family val="2"/>
          </rPr>
          <t>Leonardo Hernández Silva:</t>
        </r>
        <r>
          <rPr>
            <sz val="9"/>
            <color indexed="81"/>
            <rFont val="Tahoma"/>
            <family val="2"/>
          </rPr>
          <t xml:space="preserve">
TEAM FOODS COLOMBIA S.A
</t>
        </r>
      </text>
    </comment>
    <comment ref="AL157" authorId="5" shapeId="0" xr:uid="{BB124B4F-1F30-4732-8203-A0842A01D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57" authorId="6" shapeId="0" xr:uid="{51FA4F72-2D59-47F4-B16C-F836004855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58" authorId="7" shapeId="0" xr:uid="{5D70A743-1EC4-487A-BD9C-61E2941B4D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58" authorId="8" shapeId="0" xr:uid="{76FA8D25-EE8C-451A-AC6A-A8D8CAF070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60" authorId="9" shapeId="0" xr:uid="{217BA3DD-A859-4295-8101-974DF63F25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60" authorId="10" shapeId="0" xr:uid="{F768E07F-DA4A-46F6-84D6-87E54F16B6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L162" authorId="11" shapeId="0" xr:uid="{2ECDD6CE-3135-4CC9-9687-963A7F6BF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  <comment ref="AR162" authorId="12" shapeId="0" xr:uid="{226F6957-B7D9-4BB3-BFA7-3AE9CC1C61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Comenzaron con Maritzabel Montealegre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<sst xmlns="http://schemas.openxmlformats.org/spreadsheetml/2006/main" count="14830" uniqueCount="580">
  <si>
    <t xml:space="preserve">CONTRATO DE APRENDIZAJE </t>
  </si>
  <si>
    <t xml:space="preserve">COORDINACIÓN VIRTUAL </t>
  </si>
  <si>
    <t xml:space="preserve">FECHA DE GESTIÓN </t>
  </si>
  <si>
    <t>FICHA</t>
  </si>
  <si>
    <t xml:space="preserve">TIPO DE DOCUMENTO </t>
  </si>
  <si>
    <t xml:space="preserve">NUMERO DE DOCUMENTO </t>
  </si>
  <si>
    <t xml:space="preserve">NOMBRE </t>
  </si>
  <si>
    <t xml:space="preserve">PROGRAMA </t>
  </si>
  <si>
    <t xml:space="preserve">VERIFICACIÓN COORDINACION VIRTUAL </t>
  </si>
  <si>
    <t xml:space="preserve">FECHA DE VERIFICACIÓN  </t>
  </si>
  <si>
    <t xml:space="preserve">NOMBRE DE LA PERSONA </t>
  </si>
  <si>
    <t>CONFIRMACIÓN DE ENVÍO DE LA CARTA DE FECHAS SI / NO</t>
  </si>
  <si>
    <t xml:space="preserve">CEDULA DE CIUDADANIA </t>
  </si>
  <si>
    <t>MONICA YULITZA REYES ROJAS</t>
  </si>
  <si>
    <t>TECNÓLOGO EN ANALISIS Y DESARROLLO DE SOFTWARE.</t>
  </si>
  <si>
    <t xml:space="preserve">FALTA  47 JUCIOS POR EVALUAR </t>
  </si>
  <si>
    <t>22/01/2026</t>
  </si>
  <si>
    <t>KARINA ROJAS</t>
  </si>
  <si>
    <t>CRISTIAN MARCOS PEREZ</t>
  </si>
  <si>
    <t>TECNÓLOGO EN COORDINACION DE PROCESOS LOGISTICOS</t>
  </si>
  <si>
    <t>FALTA 48 JUICIOS POR EVALUAR</t>
  </si>
  <si>
    <t>VALENTINA ARIAS ARISTIZABAL</t>
  </si>
  <si>
    <t>FALTA 66 JUICIOS POR EVALUAR</t>
  </si>
  <si>
    <t>OSNEIDY DEL PILAR ROLON COTES</t>
  </si>
  <si>
    <t>TÉCNICO EN SERVICIOS COMERCIALES Y FINANCIEROS</t>
  </si>
  <si>
    <t xml:space="preserve">ESTA AL DIA </t>
  </si>
  <si>
    <t>VERONICA DEL CARMEN CALDERON OCHOA</t>
  </si>
  <si>
    <t> TATIANA SALOME BOLAÑOS YANDUN</t>
  </si>
  <si>
    <t xml:space="preserve">FALTA 8 JUICIOS POR EVALUAR </t>
  </si>
  <si>
    <t>ANDRES GEOVANNY SENEJOA CARRILLO</t>
  </si>
  <si>
    <t xml:space="preserve">FALTA 3 JUICIOS POR EVALUAR </t>
  </si>
  <si>
    <t>STEPHANY MARTINEZ ALANDETE</t>
  </si>
  <si>
    <t>SHIRLI YASMIN PUERTA FLOREZ</t>
  </si>
  <si>
    <t>TÉCNICO EN OPERACIONES DE COMERCIO EXTERIOR</t>
  </si>
  <si>
    <t>YESMI PAOLA AMAYA RODRIGUEZ</t>
  </si>
  <si>
    <t>TECNOLOGO GESTION CONTABLE Y DE INFORMACION FINANCIERA</t>
  </si>
  <si>
    <t>FALTA 65 JUICIOS POR EVALUAR</t>
  </si>
  <si>
    <t>YULIHET KATERINE ESPINOSA GOMEZ</t>
  </si>
  <si>
    <t>TÉCNICO EN SERVICIOS Y OPERACIONES MICROFINANCIERAS</t>
  </si>
  <si>
    <t>SOFIA AGUDELO HERNANDEZ</t>
  </si>
  <si>
    <t>TECNÓLOGO EN DESARROLLO DE MEDIOS GRAFICOS VISUALES</t>
  </si>
  <si>
    <t>FALTA 6 JUICIOS POR EVALUAR</t>
  </si>
  <si>
    <t>KAREN LORENA VASQUEZ</t>
  </si>
  <si>
    <t xml:space="preserve">FALTA 2 JUCIOS POR EVALUAR </t>
  </si>
  <si>
    <t>VANESSA RIVAS MURILLO</t>
  </si>
  <si>
    <t>FALTA 5 JUICIOS POR EVALUAR</t>
  </si>
  <si>
    <t>DANIEL DAVID CAMPAZ DAJOME</t>
  </si>
  <si>
    <t>FALTA 50 JUICIOS POR EVALUAR</t>
  </si>
  <si>
    <t>JUAN CAMILO VALBUENA PARDO</t>
  </si>
  <si>
    <t>FALTA 23 JUICIOS POR EVALUAR</t>
  </si>
  <si>
    <t>PAULA VALENTINA RUIZ CONTRERAS</t>
  </si>
  <si>
    <t>FALTA 21 JUICIOS POR EVALUAR</t>
  </si>
  <si>
    <t>STEVE MORENO ARIAS</t>
  </si>
  <si>
    <t xml:space="preserve">FALTAN 27 JUICIOS POR EVALUAR </t>
  </si>
  <si>
    <t>ANDRES CAMILO FONSECA SOTO</t>
  </si>
  <si>
    <t>FALTAN 5 JUICIOS POR EVALUAR</t>
  </si>
  <si>
    <t>YESIKA YULIETH ARIAS PAYARES</t>
  </si>
  <si>
    <t>SEBASTIAN  LOPEZ GOMEZ</t>
  </si>
  <si>
    <t>FALTAN 51 JUICIOS POR EVALUAR</t>
  </si>
  <si>
    <t>SEANN PAUL DIAZ MARTINEZ</t>
  </si>
  <si>
    <t>TÉCNICO EN ATENCION COMERCIAL Y OPERACION EN SEGUROS</t>
  </si>
  <si>
    <t>GLADYS EDILMA MESA GONZALEZ</t>
  </si>
  <si>
    <t>SAMUEL ALEJANDRO CUELLAR VELASQUEZ</t>
  </si>
  <si>
    <t xml:space="preserve">FALTAN 35 JUICIOS POR EVALUAR </t>
  </si>
  <si>
    <t>JULIAN HERNANDO PICO PIÑERES</t>
  </si>
  <si>
    <t>WOLFAN CRISTIAN GOMEZ GARCIA</t>
  </si>
  <si>
    <t>CARLOS ESNEIDER OBREGON JOTTY</t>
  </si>
  <si>
    <t>FALTAN 3 JUICIOS POR EVALUAR</t>
  </si>
  <si>
    <t> ANA MARIA MONTALVO POLO</t>
  </si>
  <si>
    <t>FALTAN 6 JUICIOS POR EVALUAR</t>
  </si>
  <si>
    <t>26/01/2026</t>
  </si>
  <si>
    <t>LETTY ANDREA ALONSO MELO</t>
  </si>
  <si>
    <t>GILMA DORADO SALAMANCA</t>
  </si>
  <si>
    <t>FALTAN 67 JUICIOS POR EVALUAR</t>
  </si>
  <si>
    <t>LISETH JOHANA ZAMBRANO MAHECHA</t>
  </si>
  <si>
    <t>40942411</t>
  </si>
  <si>
    <t>YURANCEY BOLAÑO GARAY</t>
  </si>
  <si>
    <t>1101818015</t>
  </si>
  <si>
    <t>LESLI JOHANA GONZALEZ MONTES</t>
  </si>
  <si>
    <t>1225092989</t>
  </si>
  <si>
    <t>ELIZABETH CAMPO QUIJANO</t>
  </si>
  <si>
    <t>28/01/2026</t>
  </si>
  <si>
    <t>1075682995</t>
  </si>
  <si>
    <t>CRISTIAN CAMILO TORRES BELTRAN</t>
  </si>
  <si>
    <t>1042767503</t>
  </si>
  <si>
    <t>SERGIO ANDRES AGUDELO PEREZ</t>
  </si>
  <si>
    <t>TECNÓLOGO EN DESARROLLO MULTIMEDIA Y WEB</t>
  </si>
  <si>
    <t>OPERACIONES COMERCIALES EN RETAIL</t>
  </si>
  <si>
    <t>31/03/2025</t>
  </si>
  <si>
    <t>30/06/2026</t>
  </si>
  <si>
    <t>OPERACIONES DE COMERCIO EXTERIOR</t>
  </si>
  <si>
    <t>SERVICIOS COMERCIALES Y FINANCIEROS</t>
  </si>
  <si>
    <t>SERVICIOS Y OPERACIONES MICROFINANCIERAS</t>
  </si>
  <si>
    <t>ASESORIA COMERCIAL</t>
  </si>
  <si>
    <t>01/04/2025</t>
  </si>
  <si>
    <t>31/12/2025</t>
  </si>
  <si>
    <t>DESARROLLO MULTIMEDIA Y WEB</t>
  </si>
  <si>
    <t>14/05/2024</t>
  </si>
  <si>
    <t>13/08/2026</t>
  </si>
  <si>
    <t>DESARROLLO DE MEDIOS GRAFICOS VISUALES</t>
  </si>
  <si>
    <t>DESARROLLO PUBLICITARIO</t>
  </si>
  <si>
    <t>COORDINACION DE PROCESOS LOGISTICOS</t>
  </si>
  <si>
    <t>03/06/2025</t>
  </si>
  <si>
    <t>02/09/2026</t>
  </si>
  <si>
    <t>04/06/2024</t>
  </si>
  <si>
    <t>03/09/2026</t>
  </si>
  <si>
    <t>29/07/2025</t>
  </si>
  <si>
    <t>28/10/2026</t>
  </si>
  <si>
    <t>16/09/2024</t>
  </si>
  <si>
    <t>15/12/2026</t>
  </si>
  <si>
    <t>25/09/2025</t>
  </si>
  <si>
    <t>24/12/2026</t>
  </si>
  <si>
    <t>15/09/2025</t>
  </si>
  <si>
    <t>24/06/2026</t>
  </si>
  <si>
    <t>29/09/2025</t>
  </si>
  <si>
    <t>28/12/2026</t>
  </si>
  <si>
    <t>18/11/2024</t>
  </si>
  <si>
    <t>17/02/2027</t>
  </si>
  <si>
    <t>09/12/2024</t>
  </si>
  <si>
    <t>08/03/2027</t>
  </si>
  <si>
    <t>30/06/2027</t>
  </si>
  <si>
    <t>02/09/2027</t>
  </si>
  <si>
    <t>28/12/2027</t>
  </si>
  <si>
    <t>GESTION CONTABLE Y DE INFORMACION FINANCIERA</t>
  </si>
  <si>
    <t>28/09/2025</t>
  </si>
  <si>
    <t>TÉCNICO</t>
  </si>
  <si>
    <t>27/10/2025</t>
  </si>
  <si>
    <t>26/07/2026</t>
  </si>
  <si>
    <t>NIVEL</t>
  </si>
  <si>
    <t>PROGRAMA</t>
  </si>
  <si>
    <t>F_INI</t>
  </si>
  <si>
    <t>F_FIN_ LEC</t>
  </si>
  <si>
    <t>F_FIN</t>
  </si>
  <si>
    <t>TRIMESTRE</t>
  </si>
  <si>
    <t>FECHA INICIO</t>
  </si>
  <si>
    <t>FECHA FIN</t>
  </si>
  <si>
    <t>FECHA FIN LECTIVA</t>
  </si>
  <si>
    <t>ESTADO</t>
  </si>
  <si>
    <t>TECNÓLOGO</t>
  </si>
  <si>
    <t>CONTABILIZACION DE OPERACIONES COMERCIALES Y FINANCIERAS.</t>
  </si>
  <si>
    <t>ANALISIS Y DESARROLLO DE SOFTWARE.</t>
  </si>
  <si>
    <t>ANIMACION DIGITAL</t>
  </si>
  <si>
    <t>ANIMACION 3D.</t>
  </si>
  <si>
    <t>03/07/2024</t>
  </si>
  <si>
    <t>04/03/2025</t>
  </si>
  <si>
    <t>09/09/2024</t>
  </si>
  <si>
    <t>05/11/2024</t>
  </si>
  <si>
    <t>05/09/2024</t>
  </si>
  <si>
    <t>24/10/2023</t>
  </si>
  <si>
    <t>02/07/2024</t>
  </si>
  <si>
    <t>27/05/2024</t>
  </si>
  <si>
    <t>02/09/2024</t>
  </si>
  <si>
    <t>20/11/2023</t>
  </si>
  <si>
    <t>11/09/2023</t>
  </si>
  <si>
    <t>15/05/2023</t>
  </si>
  <si>
    <t>21/11/2022</t>
  </si>
  <si>
    <t>02/04/2025</t>
  </si>
  <si>
    <t>03/03/2026</t>
  </si>
  <si>
    <t>08/09/2025</t>
  </si>
  <si>
    <t>04/03/2026</t>
  </si>
  <si>
    <t>04/12/2025</t>
  </si>
  <si>
    <t>23/01/2025</t>
  </si>
  <si>
    <t>01/10/2025</t>
  </si>
  <si>
    <t>26/08/2025</t>
  </si>
  <si>
    <t>04/09/2025</t>
  </si>
  <si>
    <t>01/06/2025</t>
  </si>
  <si>
    <t>19/02/2026</t>
  </si>
  <si>
    <t>10/12/2025</t>
  </si>
  <si>
    <t>14/08/2025</t>
  </si>
  <si>
    <t>15/12/2025</t>
  </si>
  <si>
    <t>20/02/2025</t>
  </si>
  <si>
    <t>19/02/2025</t>
  </si>
  <si>
    <t>09/12/2025</t>
  </si>
  <si>
    <t>08/03/2028</t>
  </si>
  <si>
    <t>Terminada por fecha</t>
  </si>
  <si>
    <t>En ejecucion</t>
  </si>
  <si>
    <r>
      <t>D.</t>
    </r>
    <r>
      <rPr>
        <sz val="12"/>
        <color rgb="FF000000"/>
        <rFont val="Arial"/>
        <family val="2"/>
      </rPr>
      <t>  </t>
    </r>
  </si>
  <si>
    <r>
      <t>No. Documento</t>
    </r>
    <r>
      <rPr>
        <sz val="12"/>
        <color rgb="FF000000"/>
        <rFont val="Arial"/>
        <family val="2"/>
      </rPr>
      <t>  </t>
    </r>
  </si>
  <si>
    <r>
      <t>Ficha </t>
    </r>
    <r>
      <rPr>
        <sz val="12"/>
        <color rgb="FF000000"/>
        <rFont val="Arial"/>
        <family val="2"/>
      </rPr>
      <t>  </t>
    </r>
  </si>
  <si>
    <r>
      <t>Fecha Final</t>
    </r>
    <r>
      <rPr>
        <sz val="12"/>
        <color rgb="FF000000"/>
        <rFont val="Arial"/>
        <family val="2"/>
      </rPr>
      <t>  </t>
    </r>
  </si>
  <si>
    <r>
      <t>Nivel Formación</t>
    </r>
    <r>
      <rPr>
        <sz val="12"/>
        <color rgb="FF000000"/>
        <rFont val="Arial"/>
        <family val="2"/>
      </rPr>
      <t>  </t>
    </r>
  </si>
  <si>
    <r>
      <t>Modalidad</t>
    </r>
    <r>
      <rPr>
        <sz val="12"/>
        <color rgb="FF000000"/>
        <rFont val="Arial"/>
        <family val="2"/>
      </rPr>
      <t>  </t>
    </r>
  </si>
  <si>
    <r>
      <t>Programa</t>
    </r>
    <r>
      <rPr>
        <sz val="12"/>
        <color rgb="FF000000"/>
        <rFont val="Arial"/>
        <family val="2"/>
      </rPr>
      <t>  </t>
    </r>
  </si>
  <si>
    <r>
      <t>Estado</t>
    </r>
    <r>
      <rPr>
        <sz val="12"/>
        <color rgb="FF000000"/>
        <rFont val="Arial"/>
        <family val="2"/>
      </rPr>
      <t> </t>
    </r>
  </si>
  <si>
    <r>
      <t>(si esta activa)</t>
    </r>
    <r>
      <rPr>
        <sz val="12"/>
        <color rgb="FF000000"/>
        <rFont val="Arial"/>
        <family val="2"/>
      </rPr>
      <t>  </t>
    </r>
  </si>
  <si>
    <r>
      <t>Trimestre</t>
    </r>
    <r>
      <rPr>
        <sz val="12"/>
        <color rgb="FF000000"/>
        <rFont val="Arial"/>
        <family val="2"/>
      </rPr>
      <t> </t>
    </r>
  </si>
  <si>
    <r>
      <t>(en que va)</t>
    </r>
    <r>
      <rPr>
        <sz val="12"/>
        <color rgb="FF000000"/>
        <rFont val="Arial"/>
        <family val="2"/>
      </rPr>
      <t>  </t>
    </r>
  </si>
  <si>
    <r>
      <t>Intensidad Horaria</t>
    </r>
    <r>
      <rPr>
        <sz val="12"/>
        <color rgb="FF000000"/>
        <rFont val="Arial"/>
        <family val="2"/>
      </rPr>
      <t> </t>
    </r>
  </si>
  <si>
    <t>C.C</t>
  </si>
  <si>
    <t>ACUERDO</t>
  </si>
  <si>
    <t>TECNICO</t>
  </si>
  <si>
    <t>KEBIN CUESTA RENTERIA</t>
  </si>
  <si>
    <t>JULIAN FERNANDO GARNICA SEPULVEDA</t>
  </si>
  <si>
    <t>FIS SST COM DER ETI EMP CUL MAT TIC</t>
  </si>
  <si>
    <t>FIS</t>
  </si>
  <si>
    <t>CAMILO ERNESTO CALDERON GALINDO</t>
  </si>
  <si>
    <t>COM</t>
  </si>
  <si>
    <t>JORGE ARMANDO PIEDRAHITA</t>
  </si>
  <si>
    <t>TIC</t>
  </si>
  <si>
    <t>ERICK RUIZ NOREÑA</t>
  </si>
  <si>
    <t>MAT</t>
  </si>
  <si>
    <t>JULIANA HERNANDEZ BARRERA</t>
  </si>
  <si>
    <t>CUL</t>
  </si>
  <si>
    <t>MELISSA ANDREA LAITON GARNICA</t>
  </si>
  <si>
    <t>ETI</t>
  </si>
  <si>
    <t>OLGA STELLA PARDO SARAY</t>
  </si>
  <si>
    <t>SST</t>
  </si>
  <si>
    <t>JORGE IVAN PEREZ GAITAN</t>
  </si>
  <si>
    <t>DER</t>
  </si>
  <si>
    <t>EMP</t>
  </si>
  <si>
    <t>LUISA ADRIANA CORREDOR GALVIS</t>
  </si>
  <si>
    <t>DARLING NATHALI GOMEZ OSPINA</t>
  </si>
  <si>
    <t>SST COM DER ETI EMP CUL MAT TIC</t>
  </si>
  <si>
    <t>MARINELLA DIAZ ACOSTA</t>
  </si>
  <si>
    <t>WILDER JULIAN ARIAS HERNANDEZ</t>
  </si>
  <si>
    <t>SONIA PATRICIA CASTAÑEDA CAYCEDO</t>
  </si>
  <si>
    <t>CHRISTIAN CAMILO RODRIGUEZ SALAS</t>
  </si>
  <si>
    <t>IVAN DARIO RODRIGUEZ BUSTAMANTE</t>
  </si>
  <si>
    <t/>
  </si>
  <si>
    <t>CESAR AUGUSTO BERMEO</t>
  </si>
  <si>
    <t>ELKIN DURAN MANCIPE</t>
  </si>
  <si>
    <t>NELSON ALFREDO VARGAS MORA</t>
  </si>
  <si>
    <t>LAURA CRISTINA RIAÑO ARIZA</t>
  </si>
  <si>
    <t>ANGELA JULIETTE SILVA VELANDIA</t>
  </si>
  <si>
    <t xml:space="preserve">TIC MAT COM CUL SST EMP ETI DER </t>
  </si>
  <si>
    <t>CRISTINA CASTAÑO CASTILLO</t>
  </si>
  <si>
    <t>LUIS ARTURO BASTIDAS</t>
  </si>
  <si>
    <t>DEISY JULIETH GARCIA CASTAÑEDA</t>
  </si>
  <si>
    <t>ALBERTO ANTONIO TAPIA TORRES</t>
  </si>
  <si>
    <t>MOISES EDGARDO MERIÑO POLO</t>
  </si>
  <si>
    <t>FRANKELI RODRIGUEZ VELASCO</t>
  </si>
  <si>
    <t>KAREN DAYANA CASTAÑEDA</t>
  </si>
  <si>
    <t>YERSON ALVEIRO DUARTE VELASCO</t>
  </si>
  <si>
    <t>DAVID BAUTISTA ROMERO</t>
  </si>
  <si>
    <t>SST COM DER ETI CUL EMP MAT TIC</t>
  </si>
  <si>
    <t>HECTOR ANDRES CIPAMOCHA CENTENO</t>
  </si>
  <si>
    <t>ESTEFANIA SANDOVAL CRUZ</t>
  </si>
  <si>
    <t>JEIMMY LILIANA CASTILLO GARZON</t>
  </si>
  <si>
    <t>JHONY ARMANDO RIOS</t>
  </si>
  <si>
    <t>MARIA CAROLINA GOMEZ CALLE</t>
  </si>
  <si>
    <t>LUZ MERY ROZO GUTIERREZ</t>
  </si>
  <si>
    <t xml:space="preserve">TIC EMP MAT CUL ETI COM SST CIE DER </t>
  </si>
  <si>
    <t>CIE</t>
  </si>
  <si>
    <t>LAURA SOFIA PAEZ GALLO</t>
  </si>
  <si>
    <t>NELLY BLANCO RODRIGUEZ</t>
  </si>
  <si>
    <t>TECNOLOGO</t>
  </si>
  <si>
    <t>HELDA MARINA SEPULVEDA VEGA</t>
  </si>
  <si>
    <t>OLGA STELLA PARDO</t>
  </si>
  <si>
    <t xml:space="preserve">MAT COM TIC INV FIS CUL ETI SST EMP DER </t>
  </si>
  <si>
    <t xml:space="preserve"> MAT TIC COM FIS SST INV CUL DER ETI EMP </t>
  </si>
  <si>
    <t>MELISSA LAITON LAITON GARNICA</t>
  </si>
  <si>
    <t>JOHN FRANZ RINCON PENA</t>
  </si>
  <si>
    <t>CATHERINE LOZADA OTALORA</t>
  </si>
  <si>
    <t>ANGELICA JANETH RODRIGUEZ ALONSO</t>
  </si>
  <si>
    <t>INV</t>
  </si>
  <si>
    <t>CINDY YOHANA BOHORQUEZ GARZON</t>
  </si>
  <si>
    <t>YANIS ESTER PEREZ YEPES</t>
  </si>
  <si>
    <t>JONATAN LOPEZ CASTILLO</t>
  </si>
  <si>
    <t>LISET NUNEZ RODRIGUEZ</t>
  </si>
  <si>
    <t>CLAUDIA ALICIA HERNANDEZ MESA</t>
  </si>
  <si>
    <t>JULIAN DAVID RODRIGUEZ GARZON</t>
  </si>
  <si>
    <t>GUSTAVO ADOLFO MORALES CAMARGO</t>
  </si>
  <si>
    <t>WANDA POSADA PAZ</t>
  </si>
  <si>
    <t xml:space="preserve">TIC MAT COM SST DER EMP INV FIS CUL ETI </t>
  </si>
  <si>
    <t>EULISES MOGOLLON ORTIZ</t>
  </si>
  <si>
    <t>CLAUDIA YAMILE MORALES CASTRO</t>
  </si>
  <si>
    <t>CRISTINA CASTANO CASTILLO</t>
  </si>
  <si>
    <t>JORGE ARMANDO PIEDRAHITA CABRERA</t>
  </si>
  <si>
    <t>LEYDY NAHIR FONSECA CARDENAS</t>
  </si>
  <si>
    <t>NELLYS JANETH BLANCO RODRIGUEZ</t>
  </si>
  <si>
    <t>LORENA SUAREZ CORREA</t>
  </si>
  <si>
    <t>ANALISIS Y DESARROLLO DE SOFTWARE</t>
  </si>
  <si>
    <t>JHON MANUEL SOTO CALA</t>
  </si>
  <si>
    <t>EDUER PABON MORALES</t>
  </si>
  <si>
    <t xml:space="preserve">MAT TIC COM INV FIS EMP ETI SST CUL DER </t>
  </si>
  <si>
    <t>STEPHANIE DURAN BARRAGAN</t>
  </si>
  <si>
    <t>FRANCI PAOLA LOZANO PIRAQUIVE</t>
  </si>
  <si>
    <t>CAMILO ERNESTO CALDERON GALINDO</t>
  </si>
  <si>
    <t>LAURA STHEPHANIA SANCHEZ PABON</t>
  </si>
  <si>
    <t>ANA MILENA MOSQUERA SEVILLA</t>
  </si>
  <si>
    <t>NUBIA STELLA CARRENO AMAYA</t>
  </si>
  <si>
    <t>ALBA LUCIA BELTRAN</t>
  </si>
  <si>
    <t>ELIZABETH GELVES GELVES </t>
  </si>
  <si>
    <t>ELIZABETH GELVES GELVES</t>
  </si>
  <si>
    <t>ANDRES RUBIANO CUCARIAN</t>
  </si>
  <si>
    <t>JUAN CARLOS GUERRERO MALDONADO</t>
  </si>
  <si>
    <t>CINDY CRISTINA CEBALLOS MALDONADO</t>
  </si>
  <si>
    <t>JOHAN ENRIQUE ORTEGA AMADO/WILSON QUINTERO ARDILA (TERMINO)</t>
  </si>
  <si>
    <t>DIANA MARCELA FIGUEROA FONSECA</t>
  </si>
  <si>
    <t>LIDA ROCIO ROA MONSALVE</t>
  </si>
  <si>
    <t>VICTOR ERNESTO BADILLO CAMARGO</t>
  </si>
  <si>
    <t>GUSTAVO ADOLFO CHACON</t>
  </si>
  <si>
    <t>VIVIANA MARCELA AGUDELO GARCIA</t>
  </si>
  <si>
    <t xml:space="preserve">TIC ETI COM EMP INV MAT SST CUL CIE DER </t>
  </si>
  <si>
    <t xml:space="preserve"> MAT TIC COM CIE SST INV CUL DER ETI EMP </t>
  </si>
  <si>
    <t>SERGIO LIBARDO MOLINA CADENA</t>
  </si>
  <si>
    <t>JUAN CAMILO BOHORQUEZ RODRIGUEZ</t>
  </si>
  <si>
    <t xml:space="preserve">COM TIC MAT INV CIE SST DER EMP CUL ETI </t>
  </si>
  <si>
    <t>LIDA ROCIO  ROA MONSALVE</t>
  </si>
  <si>
    <t>SONIA PATRICIA CASTAÑEDA CAYCEDO</t>
  </si>
  <si>
    <t>WILSON QUINTERO ARDILA</t>
  </si>
  <si>
    <t>JORGE ANDRES BERNAL</t>
  </si>
  <si>
    <t>JOSE ALFONSO SOTO SILVERA</t>
  </si>
  <si>
    <t>DORIS AMPARO PORTILLA PABON</t>
  </si>
  <si>
    <t>ALEJANDRO CEDIEL TELLO/WILSON QUINTERO ARDILA (TERMINO)</t>
  </si>
  <si>
    <t>CARLOS ALBERTO HERNANDEZ ARCILA</t>
  </si>
  <si>
    <t>LAURA VIVIANA MONTERO</t>
  </si>
  <si>
    <t>WILSON QUINTERO ARDILA (TERMINO)</t>
  </si>
  <si>
    <t>MARITZABEL MONTEALEGRE RAMIREZ</t>
  </si>
  <si>
    <t>KAREN DAYANA CASTAÑEDA/WILSON QUINTERO ARDILA (TERMINO)</t>
  </si>
  <si>
    <t>MABEL PATRICIA GARCIA</t>
  </si>
  <si>
    <t>KAREN DAYANA CASTAÑEDA (TERMINO)</t>
  </si>
  <si>
    <t>CATHERINE  LOZADA OTALORA</t>
  </si>
  <si>
    <t>MARIA ANGELICA VEGA TORO (TERMINO)</t>
  </si>
  <si>
    <t>LUIS GABRIEL GRANADOS YEPES</t>
  </si>
  <si>
    <t>NIXA TATIANA OLAVE PEREZ</t>
  </si>
  <si>
    <t>WILSON QUINTERO ARDILA/KAREN DAYANA CASTAÑEDA (TERMINO)</t>
  </si>
  <si>
    <t xml:space="preserve"> HECTOR ANDRES CIPAMOCHA CENTENO</t>
  </si>
  <si>
    <t>DER SST</t>
  </si>
  <si>
    <t>ELKIN DURAN  MANCIPE</t>
  </si>
  <si>
    <t>DER EMP</t>
  </si>
  <si>
    <t xml:space="preserve">MAT SST COM ETI CUL DER TIC EMP </t>
  </si>
  <si>
    <t>DER CUL</t>
  </si>
  <si>
    <t>GUSTAVO ADOLFO MARUN SUAREZ</t>
  </si>
  <si>
    <t>DAVID EDUARDO LEON</t>
  </si>
  <si>
    <t>KAREN DAYANA CASTAÑEDA/JEIMMY LILIANA CASTILLO</t>
  </si>
  <si>
    <t>MAT TIC COM INV FIS EMP ETI SST CUL DER</t>
  </si>
  <si>
    <t>COM INV</t>
  </si>
  <si>
    <t>CAMILO ERNESTO PARRA LOPEZ</t>
  </si>
  <si>
    <t>MARIA ANGELICA VEGA TORO</t>
  </si>
  <si>
    <t>MARIA ANGELICA VEGA TORO/JEIMMY LILIANA CASTILLA</t>
  </si>
  <si>
    <t>JORGE ANDRES BERNAL/JEIMMY LILIANA CASTILLO</t>
  </si>
  <si>
    <t>YESENIA PATRICIA PINEDA JARAMILLO</t>
  </si>
  <si>
    <t>COM INV SST</t>
  </si>
  <si>
    <t>FRANCISCO ARNALDO VARGAS BERMUDEZ</t>
  </si>
  <si>
    <t>WILSON QUINTERO ARDILA/JEIMMY LILIANA CASTILLO</t>
  </si>
  <si>
    <t>INV SST</t>
  </si>
  <si>
    <t>ALEJANDRO CEDIEL TELLO/JEIMMY LILIANA CASTILLO</t>
  </si>
  <si>
    <t>MAT FIS CUL ETI COM SST DER</t>
  </si>
  <si>
    <t>MAT EMP CUL ETI COM SST DER</t>
  </si>
  <si>
    <t>OSCAR EDUARDO SARMIENTO SAAVEDRA</t>
  </si>
  <si>
    <t>AURA MATILDE CARRERO USSA/JEIMMY LILIANA CASTILLLO</t>
  </si>
  <si>
    <t>COM TIC MAT INV CIE SST DER EMP CUL ETI</t>
  </si>
  <si>
    <t>MAT EMP CIE CUL ETI COM SST</t>
  </si>
  <si>
    <t>CIE SST</t>
  </si>
  <si>
    <t>ALEX VICENTE SILVA BELTRAN</t>
  </si>
  <si>
    <t>JAVIER GERARDO VIVAS PRIETO</t>
  </si>
  <si>
    <t>DANIELA ALEXANDRA MARTINEZ MARTIN</t>
  </si>
  <si>
    <t>AURA MATILDE CARRERO USSA</t>
  </si>
  <si>
    <t>CIE SST CUL</t>
  </si>
  <si>
    <t>SST CUL</t>
  </si>
  <si>
    <t>INV CIE DER SST CUL</t>
  </si>
  <si>
    <t>DES MED GRA VIS 1</t>
  </si>
  <si>
    <t>TIC MAT COM SST DER EMP INV FIS CUL ETI</t>
  </si>
  <si>
    <t>CIE SST EMP CUL</t>
  </si>
  <si>
    <t>SST INV FIS</t>
  </si>
  <si>
    <t>LUCY PAOLA REYES CARDENAS</t>
  </si>
  <si>
    <t>SANDRA MARCELA GUEVARA BARRIENTOS</t>
  </si>
  <si>
    <t>TIC ETI COM EMP INV MAT SST CUL CIE DER</t>
  </si>
  <si>
    <t xml:space="preserve">TIC MAT FIS CUL ETI COM SST DER EMP </t>
  </si>
  <si>
    <t xml:space="preserve">TIC MAT EMP CIE CUL ETI COM SST DER </t>
  </si>
  <si>
    <t>DEIBY NATALIA RAMIREZ</t>
  </si>
  <si>
    <t>GRACIELA MARTINEZ JIMENEZ</t>
  </si>
  <si>
    <t>INV FIS SST CUL</t>
  </si>
  <si>
    <t>COM INV FIS EMP SST</t>
  </si>
  <si>
    <t>XIMENA ANDREA BAHAMON</t>
  </si>
  <si>
    <t>INV FIS EMP SST DER</t>
  </si>
  <si>
    <t>ALEX EDUARDO ZAMBRANO PEREZ</t>
  </si>
  <si>
    <t>COM INV FIS SST DER</t>
  </si>
  <si>
    <t>EDGAR FERNEY OLIVEROS</t>
  </si>
  <si>
    <t>MAICOL ENRIQUE PENA CUBILLOS</t>
  </si>
  <si>
    <t>COM INV FIS SST CUL</t>
  </si>
  <si>
    <t>COM CUL SST INV EMP</t>
  </si>
  <si>
    <t>COM TIC CUL SST INV</t>
  </si>
  <si>
    <t>COM CIE DER SST CUL</t>
  </si>
  <si>
    <t>COM DER SST EMP CUL</t>
  </si>
  <si>
    <t>COM TIC DER SST CUL</t>
  </si>
  <si>
    <t>JESUS RENE BUITRAGO PEDRAZA</t>
  </si>
  <si>
    <t>TIC MAT COM SST EMP DER INV FIS CUL</t>
  </si>
  <si>
    <t>COM MAT ETI DER CUL EMP INV SST</t>
  </si>
  <si>
    <t>JOHN JAIRO LEON MEZA</t>
  </si>
  <si>
    <t>EDGAR HERNANDO SANTANA ORDOÑEZ</t>
  </si>
  <si>
    <t>COM INV FIS EMP ETI SST CUL DER</t>
  </si>
  <si>
    <t>CLAUDIA ROCIO VACCA GARCIA  </t>
  </si>
  <si>
    <t>LAURA MARCELA BORRERO RAMIREZ</t>
  </si>
  <si>
    <t>JOHN JAIRO LEON MEZA  </t>
  </si>
  <si>
    <t>MAICOL ENRIQUE PEÑA CUBILLOS</t>
  </si>
  <si>
    <t>FERNANDO FORERO GOMEZ</t>
  </si>
  <si>
    <t>MAT COM INV FIS EMP ETI SST CUL DER</t>
  </si>
  <si>
    <t>JAIRZINHO CABRERA DAVILA</t>
  </si>
  <si>
    <t>MAT COM TIC CUL SST INV ETI EMP DER</t>
  </si>
  <si>
    <t>INV COM TIC MAT CIE DER ETI SST EMP CUL</t>
  </si>
  <si>
    <t>ANIMACION 3D</t>
  </si>
  <si>
    <t>VICTOR QUINTERO VALENCIA</t>
  </si>
  <si>
    <t xml:space="preserve">MAT CIE COM TIC CUL SST INV ETI EMP DER </t>
  </si>
  <si>
    <t>INV COM MAT CIE DER ETI SST EMP CUL</t>
  </si>
  <si>
    <t>CLAUDIA ROCIO VACCA GARCIA</t>
  </si>
  <si>
    <t xml:space="preserve">INV COM TIC MAT CIE DER ETI SST EMP CUL </t>
  </si>
  <si>
    <t xml:space="preserve">TIC MAT COM SST EMP DER INV FIS CUL ETI </t>
  </si>
  <si>
    <t>INV COM TIC CIE DER ETI SST EMP CUL</t>
  </si>
  <si>
    <t>MIGUEL ALEJANDRO PEÑA CUBIDES</t>
  </si>
  <si>
    <t>TIC COM MAT ETI DER CUL EMP INV SST</t>
  </si>
  <si>
    <t>LIDA ASTRID MEJIA GONZALEZ</t>
  </si>
  <si>
    <t>MARTHA LILIANA SAAVEDRA VILLAMIZAR</t>
  </si>
  <si>
    <t>MABEL PATRICIA GARCIA MURILLO</t>
  </si>
  <si>
    <t>26/07/2027</t>
  </si>
  <si>
    <t>27/10/2026</t>
  </si>
  <si>
    <t>APRENDICES</t>
  </si>
  <si>
    <t>INSTRUCTOR_TECNICO 2024</t>
  </si>
  <si>
    <t>INSTRUCTOR_TECNICO_ANT 2024</t>
  </si>
  <si>
    <t>INSTRUCTOR BIENVENIDA 2024</t>
  </si>
  <si>
    <t>INSTRUCTOR INDUCCION 2025</t>
  </si>
  <si>
    <t>INSTRUCTOR_TECNICO_ANT 2025</t>
  </si>
  <si>
    <t>INSTRUCTOR TECNICO 2025</t>
  </si>
  <si>
    <t>INSTRUCTOR_BILINGUISMO 2024/2025</t>
  </si>
  <si>
    <t>INSTRUCTOR BILINGUIMOS 2025</t>
  </si>
  <si>
    <t>TODAS</t>
  </si>
  <si>
    <t>FALTAN EN 2024</t>
  </si>
  <si>
    <t>Transversal 5to periodo</t>
  </si>
  <si>
    <t>Instructor 5to periodo</t>
  </si>
  <si>
    <t>Transversal 6to periodo</t>
  </si>
  <si>
    <t>Instructor 6to periodo</t>
  </si>
  <si>
    <t>Transversal 7mo periodo</t>
  </si>
  <si>
    <t>Instructor 7mo periodo</t>
  </si>
  <si>
    <t>Transversal 8vo periodo</t>
  </si>
  <si>
    <t>Instructor 8vo periodo</t>
  </si>
  <si>
    <t>Transversal 9no Periodo</t>
  </si>
  <si>
    <t>Instructor 9no periodo</t>
  </si>
  <si>
    <t>Transvesal 1er Periodo 2025</t>
  </si>
  <si>
    <t>Instructor 1er Periodo 2025</t>
  </si>
  <si>
    <t>Transversal 2do periodo 2025</t>
  </si>
  <si>
    <t>Instructor 2do periodo 2025</t>
  </si>
  <si>
    <t>Transversal 3er periodo 2025 - A</t>
  </si>
  <si>
    <t>Instructor 3er periodo 2025 -A</t>
  </si>
  <si>
    <t>Transversal 3er periodo 2025 - B</t>
  </si>
  <si>
    <t>Instructor 3er periodo 2025 - B</t>
  </si>
  <si>
    <t>Transvesal 4to periodo 2025 - A</t>
  </si>
  <si>
    <t>Instructor 4to periodo 2025 -A</t>
  </si>
  <si>
    <t>Transversal 4to periodo 2025 - B</t>
  </si>
  <si>
    <t>Instructor 4to periodo 2025 - B</t>
  </si>
  <si>
    <t>Transversal 5to periodo 2025 - A</t>
  </si>
  <si>
    <t>Instructor 5to periodo 2025 - A</t>
  </si>
  <si>
    <t>Transversal 5to periodo 2025 - B</t>
  </si>
  <si>
    <t>Instructor 5to periodo 2025 -B</t>
  </si>
  <si>
    <t>Transversal 6to periodo 2025 - A</t>
  </si>
  <si>
    <t>Instructor 6to periodo 2025 - A</t>
  </si>
  <si>
    <t>Transversal 6to periodo 2025 - B</t>
  </si>
  <si>
    <t>Instructor 6to periodo 2025 -B</t>
  </si>
  <si>
    <t>Transversal 7mo periodo 2025 - A</t>
  </si>
  <si>
    <t>Instructor 7mo periodo 2025 - A</t>
  </si>
  <si>
    <t>Transversal 7mo periodo 2025 - B</t>
  </si>
  <si>
    <t>Instructor 7mo periodo 2025 -B</t>
  </si>
  <si>
    <t>Transversal 8vo periodo 2025 - A</t>
  </si>
  <si>
    <t>Instructor 8vo periodo 2025 - A</t>
  </si>
  <si>
    <t>Transversal 8vo periodo 2025 - B</t>
  </si>
  <si>
    <t>Instructor 8vo periodo 2025 - B</t>
  </si>
  <si>
    <t>Transversal 9vo periodo 2025 - A</t>
  </si>
  <si>
    <t>Instructor 9No periodo 2025 - A</t>
  </si>
  <si>
    <t>Transversal 9vo periodo 2025 - B</t>
  </si>
  <si>
    <t>Instructor 9No periodo 2025 - B</t>
  </si>
  <si>
    <t>Transversal 1er periodo 2026 - A</t>
  </si>
  <si>
    <t>Instructor 1er periodo 2026 - A</t>
  </si>
  <si>
    <t>FALTAN</t>
  </si>
  <si>
    <t>NUEVAS FALTANTES</t>
  </si>
  <si>
    <t>INSTRUCTOR TECNICO 2026</t>
  </si>
  <si>
    <t>ALEX EDUARDO ZAMBRANO PEREZ        </t>
  </si>
  <si>
    <t>ANA MILENA MOSQUERA SEVILLA         </t>
  </si>
  <si>
    <t>DARLING NATHALI GOMEZ OSPINA        </t>
  </si>
  <si>
    <t>EDGAR  HERNANDO SANTANA ORDOÑEZ            </t>
  </si>
  <si>
    <t xml:space="preserve">FERNANDO GONZALEZ GARCIA </t>
  </si>
  <si>
    <t xml:space="preserve">GRACIELA MARTINEZ JIMENEZ  </t>
  </si>
  <si>
    <t>GUSTAVO ADOLFO CHACÓN</t>
  </si>
  <si>
    <t>HELDA MARINA SEPULVEDA VEGA         </t>
  </si>
  <si>
    <t>EDICSON NIÑO AREVALO</t>
  </si>
  <si>
    <t>JESUS ANTONIO FIGUEROA GUERRERO</t>
  </si>
  <si>
    <t>JESUS RENE  BUITRAGO PEDRAZA           </t>
  </si>
  <si>
    <t>JOHN JAIRO LEON MEZA              </t>
  </si>
  <si>
    <t>JORGE ENRIQUE PORTELA CLEVES           </t>
  </si>
  <si>
    <t>JOSE ALFONSO SOTO SILVERA   </t>
  </si>
  <si>
    <t>JUAN CAMILO BOHORQUEZ RODRIGUEZ              </t>
  </si>
  <si>
    <t>JUAN CARLOS GUERRERO MALDONADO              </t>
  </si>
  <si>
    <t xml:space="preserve">KEBIN  CUESTA RENTERIA            </t>
  </si>
  <si>
    <t>LAURA VIVIANA MONTERO DURAN       </t>
  </si>
  <si>
    <t>LEYDY NAHIR FONSECA CARDENAS        </t>
  </si>
  <si>
    <t>LIDA ASTRID MEJIA GONZALEZ </t>
  </si>
  <si>
    <t>LUCY PAOLA REYES CARDENAS </t>
  </si>
  <si>
    <t>LUIS GABRIEL GRANADOS YEPES              </t>
  </si>
  <si>
    <t>LUIS MIGUEL ANGARITA BUENAVENTURA           </t>
  </si>
  <si>
    <t>LUZ MERY ROZO GUTIERREZ      </t>
  </si>
  <si>
    <t>MARÍA PAOLA GIRALDO HERRERA</t>
  </si>
  <si>
    <t>MARTHA LILIANA SAAVEDRA VILLAMIZAR           </t>
  </si>
  <si>
    <t>MOISES EDGARDO MERIÑO POLO          </t>
  </si>
  <si>
    <t>NIXA TATIANA OLAVE PEREZ      </t>
  </si>
  <si>
    <t>VERONICA ALEXANDRA IBARRA FIRACATIVE       </t>
  </si>
  <si>
    <t xml:space="preserve">VICTOR QUINTERO VALENCIA    </t>
  </si>
  <si>
    <t>VIVIANA MARCELA AGUDELO GARCÍA  </t>
  </si>
  <si>
    <t xml:space="preserve">WANDA POSADA PAZ    </t>
  </si>
  <si>
    <t>YERSON ALVEIRO DUARTE VELASCO   </t>
  </si>
  <si>
    <t>LIGIA MUÑOZ LINARES</t>
  </si>
  <si>
    <t>RAÚL VEGA URRIAGO</t>
  </si>
  <si>
    <t>MONICA ANDRADE RIOS</t>
  </si>
  <si>
    <t>Fecha Inicio</t>
  </si>
  <si>
    <t>LEIDY JOHANA CAVIEDES ORDUZ</t>
  </si>
  <si>
    <t>VIRTUAL</t>
  </si>
  <si>
    <t>Nombres y Apellidos</t>
  </si>
  <si>
    <t>FORMACION</t>
  </si>
  <si>
    <t>6 TRIMESTRE</t>
  </si>
  <si>
    <t>34 Horas</t>
  </si>
  <si>
    <t>FASE</t>
  </si>
  <si>
    <t>COD PRO</t>
  </si>
  <si>
    <t>VER</t>
  </si>
  <si>
    <t>ANALISIS</t>
  </si>
  <si>
    <t>PLANEACION</t>
  </si>
  <si>
    <t>EJECUCION</t>
  </si>
  <si>
    <t>EVALUACION</t>
  </si>
  <si>
    <t>NEW</t>
  </si>
  <si>
    <t xml:space="preserve">ETI </t>
  </si>
  <si>
    <t xml:space="preserve">SST </t>
  </si>
  <si>
    <t>CONTABILIZACION DE OPERACIONES COMERCIALES Y FINANCIERAS</t>
  </si>
  <si>
    <t xml:space="preserve">EMP TIC MAT COM ETI DER SST CUL </t>
  </si>
  <si>
    <t xml:space="preserve">MAT TIC COM CUL ETI SST EMP DER </t>
  </si>
  <si>
    <t xml:space="preserve">TIC COM MAT CIE INV ETI SST CUL EMP DER </t>
  </si>
  <si>
    <t>INDUCCION</t>
  </si>
  <si>
    <t>IND</t>
  </si>
  <si>
    <t>TRANSVERSALES VISTAS</t>
  </si>
  <si>
    <t>Instructor Bilinguismo 1er Periodo</t>
  </si>
  <si>
    <t>Transversal 2do periodo 2026 - A</t>
  </si>
  <si>
    <t>Instructor 2do periodo 2026 - A</t>
  </si>
  <si>
    <t>Transversal 2do periodo 2026 - B</t>
  </si>
  <si>
    <t>Instructor 2do periodo 2026 - B</t>
  </si>
  <si>
    <t>NUEVAS FALTANTES1</t>
  </si>
  <si>
    <t>NUEVAS FALTANTES2</t>
  </si>
  <si>
    <t>ACTIVOS  Bilinguismo</t>
  </si>
  <si>
    <t>Observación</t>
  </si>
  <si>
    <t>actual</t>
  </si>
  <si>
    <t>jeimy</t>
  </si>
  <si>
    <t>Terminó</t>
  </si>
  <si>
    <t>nueva</t>
  </si>
  <si>
    <t>BIL</t>
  </si>
  <si>
    <t>CESAR AUGUSTO  BERMEO</t>
  </si>
  <si>
    <t>FALTA INGLES</t>
  </si>
  <si>
    <t xml:space="preserve">CESAR AUGUSTO BERMEO </t>
  </si>
  <si>
    <t>INV  SST CUL</t>
  </si>
  <si>
    <t>CIE  CUL</t>
  </si>
  <si>
    <t xml:space="preserve">FRANCI PAOLA LOZANO PIRAQUIVE       </t>
  </si>
  <si>
    <t>JENNIFER IVETT CUERVO GARCIA </t>
  </si>
  <si>
    <t>CUL INV FIS</t>
  </si>
  <si>
    <t>DIANA PAOLA SALCEDO NOVOA</t>
  </si>
  <si>
    <t>DER FIS</t>
  </si>
  <si>
    <t xml:space="preserve"> MAT FIS CUL ETI COM SST DER </t>
  </si>
  <si>
    <t xml:space="preserve">MAT EMP CIE CUL ETI COM SST DER </t>
  </si>
  <si>
    <t xml:space="preserve"> MAT EMP CIE CUL ETI COM SST DER </t>
  </si>
  <si>
    <t>SST CIE</t>
  </si>
  <si>
    <t>PAOLA</t>
  </si>
  <si>
    <t>LAURA CRISTINA RIAÑO</t>
  </si>
  <si>
    <t xml:space="preserve">LORENA SUAREZ CORREA             </t>
  </si>
  <si>
    <t xml:space="preserve">DAVID EDUARDO LEON </t>
  </si>
  <si>
    <t xml:space="preserve">MARIBEL LOPEZ NUÑEZ </t>
  </si>
  <si>
    <t>LIGIA MUÑOS</t>
  </si>
  <si>
    <t>TRANSVERSALES FALTANTES</t>
  </si>
  <si>
    <t>PAOLA ANDREA CHAVES SANCHEZ1</t>
  </si>
  <si>
    <t>CARLOS HERNANDEZ ARCILA</t>
  </si>
  <si>
    <t>CESAR AUGUSTO HERNANDEZ RODRIGUEZ</t>
  </si>
  <si>
    <t>DEIBY NATALIA RAMIREZ RAMIREZ</t>
  </si>
  <si>
    <t>FERNANDO GONZALEZ GARCIA</t>
  </si>
  <si>
    <t>JENNIFER IVETT CUERVO GARCIA</t>
  </si>
  <si>
    <t>JORGE ENRIQUE PORTELA CLEVES</t>
  </si>
  <si>
    <t>LAURA VIVIANA MONTERO DURAN</t>
  </si>
  <si>
    <t>LUIS MIGUEL ANGARITA BUENAVENTURA</t>
  </si>
  <si>
    <t>MARCELA GUEVARA BARRIENTOS</t>
  </si>
  <si>
    <t>MARIBEL LOPEZ NUÑEZ</t>
  </si>
  <si>
    <t>SANDRA MILENA MARIN CAÑAS</t>
  </si>
  <si>
    <t>VERONICA ALEXANDRA IBARRA FIRACATIVE</t>
  </si>
  <si>
    <t>XIMENA ANDREA BAHAMON RIOS</t>
  </si>
  <si>
    <t>XIMENA SANCHEZ HERNANDEZ</t>
  </si>
  <si>
    <t>VIVIANA LIZETH VELASQUEZ ALMANZA</t>
  </si>
  <si>
    <t>RAUL VEGA URRIAGO</t>
  </si>
  <si>
    <t>KAREN DAYANA CASTAÑEDA RODRIGUEZ</t>
  </si>
  <si>
    <t>LIGIA LEONOR LEON MORA</t>
  </si>
  <si>
    <t>MARIA PAOLA GIRALDO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</si>
</sst>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;\-0;;\ @"/>
    <numFmt numFmtId="166" formatCode="dd\.mm\.yyyy;@"/>
  </numFmts>
  <fonts count="3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rial"/>
      <family val="2"/>
    </font>
    <font>
      <sz val="11"/>
      <color theme="0"/>
      <name val="Arial"/>
      <family val="2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8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/>
      <name val="Roboto"/>
    </font>
    <font>
      <sz val="11"/>
      <color theme="1"/>
      <name val="Calibri Light"/>
      <family val="2"/>
    </font>
    <font>
      <sz val="11"/>
      <name val="Calibri Light"/>
      <family val="2"/>
    </font>
    <font>
      <b/>
      <sz val="12"/>
      <color rgb="FF000000"/>
      <name val="Arial"/>
      <family val="2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00"/>
      <name val="Aptos Narrow"/>
      <family val="2"/>
      <scheme val="minor"/>
    </font>
    <font>
      <b/>
      <sz val="11"/>
      <color theme="1"/>
      <name val="Calibri Light"/>
      <family val="2"/>
    </font>
    <font>
      <b/>
      <sz val="11"/>
      <color rgb="FF333333"/>
      <name val="Calibri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EA9DB"/>
        <bgColor rgb="FF8EA9DB"/>
      </patternFill>
    </fill>
    <fill>
      <patternFill patternType="solid">
        <fgColor theme="8" tint="0.79998168889431442"/>
        <bgColor rgb="FF8EA9DB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/>
        <bgColor rgb="FF8EA9DB"/>
      </patternFill>
    </fill>
    <fill>
      <patternFill patternType="solid">
        <fgColor theme="8" tint="0.39997558519241921"/>
        <bgColor rgb="FF8EA9DB"/>
      </patternFill>
    </fill>
    <fill>
      <patternFill patternType="solid">
        <fgColor theme="2" tint="-9.9978637043366805E-2"/>
        <bgColor rgb="FF8EA9DB"/>
      </patternFill>
    </fill>
    <fill>
      <patternFill patternType="solid">
        <fgColor rgb="FF00FF0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568D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14" fontId="5" fillId="0" borderId="1" xfId="0" applyNumberFormat="1" applyFont="1" applyBorder="1"/>
    <xf numFmtId="0" fontId="6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0" borderId="10" xfId="0" applyFont="1" applyBorder="1"/>
    <xf numFmtId="0" fontId="6" fillId="0" borderId="9" xfId="0" applyFont="1" applyBorder="1"/>
    <xf numFmtId="0" fontId="6" fillId="0" borderId="8" xfId="0" applyFont="1" applyBorder="1"/>
    <xf numFmtId="0" fontId="6" fillId="0" borderId="7" xfId="0" applyFont="1" applyBorder="1"/>
    <xf numFmtId="14" fontId="5" fillId="0" borderId="10" xfId="0" applyNumberFormat="1" applyFont="1" applyBorder="1"/>
    <xf numFmtId="0" fontId="5" fillId="0" borderId="10" xfId="0" applyFont="1" applyBorder="1"/>
    <xf numFmtId="14" fontId="5" fillId="0" borderId="11" xfId="0" applyNumberFormat="1" applyFont="1" applyBorder="1"/>
    <xf numFmtId="0" fontId="7" fillId="0" borderId="11" xfId="0" applyFont="1" applyBorder="1"/>
    <xf numFmtId="0" fontId="6" fillId="0" borderId="11" xfId="0" applyFont="1" applyBorder="1"/>
    <xf numFmtId="0" fontId="5" fillId="0" borderId="11" xfId="0" applyFont="1" applyBorder="1"/>
    <xf numFmtId="0" fontId="6" fillId="5" borderId="1" xfId="0" applyFont="1" applyFill="1" applyBorder="1"/>
    <xf numFmtId="0" fontId="6" fillId="3" borderId="10" xfId="0" applyFont="1" applyFill="1" applyBorder="1"/>
    <xf numFmtId="0" fontId="7" fillId="3" borderId="11" xfId="0" applyFont="1" applyFill="1" applyBorder="1"/>
    <xf numFmtId="0" fontId="9" fillId="0" borderId="8" xfId="0" applyFont="1" applyBorder="1"/>
    <xf numFmtId="0" fontId="8" fillId="0" borderId="8" xfId="0" applyFont="1" applyBorder="1"/>
    <xf numFmtId="14" fontId="7" fillId="0" borderId="11" xfId="0" applyNumberFormat="1" applyFont="1" applyBorder="1"/>
    <xf numFmtId="0" fontId="9" fillId="0" borderId="11" xfId="0" applyFont="1" applyBorder="1"/>
    <xf numFmtId="0" fontId="8" fillId="0" borderId="11" xfId="0" applyFont="1" applyBorder="1"/>
    <xf numFmtId="0" fontId="10" fillId="0" borderId="8" xfId="0" applyFont="1" applyBorder="1"/>
    <xf numFmtId="0" fontId="8" fillId="0" borderId="8" xfId="0" applyFont="1" applyBorder="1" applyAlignment="1">
      <alignment horizontal="right"/>
    </xf>
    <xf numFmtId="0" fontId="8" fillId="0" borderId="0" xfId="0" applyFont="1"/>
    <xf numFmtId="0" fontId="0" fillId="0" borderId="8" xfId="0" applyBorder="1"/>
    <xf numFmtId="0" fontId="7" fillId="0" borderId="8" xfId="0" applyFont="1" applyBorder="1"/>
    <xf numFmtId="0" fontId="5" fillId="4" borderId="13" xfId="0" applyFont="1" applyFill="1" applyBorder="1"/>
    <xf numFmtId="0" fontId="0" fillId="0" borderId="11" xfId="0" applyBorder="1"/>
    <xf numFmtId="0" fontId="9" fillId="3" borderId="11" xfId="0" applyFont="1" applyFill="1" applyBorder="1"/>
    <xf numFmtId="0" fontId="5" fillId="0" borderId="9" xfId="0" applyFont="1" applyBorder="1"/>
    <xf numFmtId="0" fontId="5" fillId="0" borderId="14" xfId="0" applyFont="1" applyBorder="1"/>
    <xf numFmtId="0" fontId="5" fillId="0" borderId="13" xfId="0" applyFont="1" applyBorder="1"/>
    <xf numFmtId="0" fontId="5" fillId="4" borderId="15" xfId="0" applyFont="1" applyFill="1" applyBorder="1"/>
    <xf numFmtId="0" fontId="0" fillId="0" borderId="12" xfId="0" applyBorder="1"/>
    <xf numFmtId="0" fontId="0" fillId="0" borderId="13" xfId="0" applyBorder="1"/>
    <xf numFmtId="0" fontId="11" fillId="2" borderId="16" xfId="0" applyFont="1" applyFill="1" applyBorder="1" applyAlignment="1">
      <alignment horizontal="center" wrapText="1"/>
    </xf>
    <xf numFmtId="0" fontId="9" fillId="3" borderId="8" xfId="0" applyFont="1" applyFill="1" applyBorder="1"/>
    <xf numFmtId="0" fontId="8" fillId="3" borderId="8" xfId="0" applyFont="1" applyFill="1" applyBorder="1"/>
    <xf numFmtId="0" fontId="8" fillId="0" borderId="0" xfId="0" applyFont="1" applyAlignment="1">
      <alignment horizontal="right"/>
    </xf>
    <xf numFmtId="0" fontId="9" fillId="0" borderId="0" xfId="0" applyFont="1"/>
    <xf numFmtId="0" fontId="0" fillId="0" borderId="8" xfId="0" applyBorder="1" applyAlignment="1">
      <alignment horizontal="right"/>
    </xf>
    <xf numFmtId="0" fontId="8" fillId="0" borderId="11" xfId="0" applyFont="1" applyBorder="1" applyAlignment="1">
      <alignment horizontal="right"/>
    </xf>
    <xf numFmtId="0" fontId="13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left" vertical="center" wrapText="1"/>
    </xf>
    <xf numFmtId="14" fontId="13" fillId="6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3" borderId="0" xfId="0" applyFill="1"/>
    <xf numFmtId="0" fontId="14" fillId="0" borderId="0" xfId="0" applyFont="1"/>
    <xf numFmtId="0" fontId="0" fillId="8" borderId="0" xfId="0" applyFill="1"/>
    <xf numFmtId="0" fontId="14" fillId="8" borderId="0" xfId="0" applyFont="1" applyFill="1"/>
    <xf numFmtId="0" fontId="0" fillId="8" borderId="20" xfId="0" applyFill="1" applyBorder="1"/>
    <xf numFmtId="0" fontId="15" fillId="4" borderId="17" xfId="0" applyFont="1" applyFill="1" applyBorder="1"/>
    <xf numFmtId="14" fontId="15" fillId="4" borderId="19" xfId="0" applyNumberFormat="1" applyFont="1" applyFill="1" applyBorder="1"/>
    <xf numFmtId="14" fontId="15" fillId="4" borderId="19" xfId="0" applyNumberFormat="1" applyFont="1" applyFill="1" applyBorder="1" applyAlignment="1">
      <alignment horizontal="left"/>
    </xf>
    <xf numFmtId="14" fontId="16" fillId="4" borderId="19" xfId="0" applyNumberFormat="1" applyFont="1" applyFill="1" applyBorder="1"/>
    <xf numFmtId="0" fontId="15" fillId="4" borderId="18" xfId="0" applyFont="1" applyFill="1" applyBorder="1"/>
    <xf numFmtId="14" fontId="0" fillId="0" borderId="0" xfId="0" applyNumberFormat="1" applyAlignment="1">
      <alignment horizontal="left"/>
    </xf>
    <xf numFmtId="0" fontId="17" fillId="9" borderId="24" xfId="0" applyFont="1" applyFill="1" applyBorder="1" applyAlignment="1">
      <alignment horizontal="left" vertical="center" wrapText="1" readingOrder="1"/>
    </xf>
    <xf numFmtId="0" fontId="17" fillId="9" borderId="25" xfId="0" applyFont="1" applyFill="1" applyBorder="1" applyAlignment="1">
      <alignment horizontal="left" vertical="center" wrapText="1" readingOrder="1"/>
    </xf>
    <xf numFmtId="0" fontId="10" fillId="9" borderId="25" xfId="0" applyFont="1" applyFill="1" applyBorder="1" applyAlignment="1">
      <alignment horizontal="left" vertical="center" wrapText="1" readingOrder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0" xfId="0" applyFont="1"/>
    <xf numFmtId="0" fontId="19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22" fillId="10" borderId="0" xfId="0" applyFont="1" applyFill="1" applyAlignment="1">
      <alignment vertical="center"/>
    </xf>
    <xf numFmtId="0" fontId="25" fillId="11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/>
    </xf>
    <xf numFmtId="164" fontId="13" fillId="7" borderId="0" xfId="0" applyNumberFormat="1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166" fontId="13" fillId="7" borderId="0" xfId="0" applyNumberFormat="1" applyFont="1" applyFill="1" applyAlignment="1">
      <alignment horizontal="center" vertical="center" wrapText="1"/>
    </xf>
    <xf numFmtId="165" fontId="13" fillId="7" borderId="0" xfId="0" applyNumberFormat="1" applyFont="1" applyFill="1" applyAlignment="1">
      <alignment horizontal="center" vertical="center" wrapText="1"/>
    </xf>
    <xf numFmtId="166" fontId="13" fillId="6" borderId="0" xfId="0" applyNumberFormat="1" applyFont="1" applyFill="1" applyAlignment="1">
      <alignment horizontal="center" vertical="center" wrapText="1"/>
    </xf>
    <xf numFmtId="165" fontId="13" fillId="13" borderId="0" xfId="0" applyNumberFormat="1" applyFont="1" applyFill="1" applyAlignment="1">
      <alignment horizontal="center" vertical="center" wrapText="1"/>
    </xf>
    <xf numFmtId="165" fontId="13" fillId="14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0" fillId="3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6" fillId="9" borderId="23" xfId="0" applyFont="1" applyFill="1" applyBorder="1" applyAlignment="1">
      <alignment horizontal="left" vertical="center" wrapText="1" readingOrder="1"/>
    </xf>
    <xf numFmtId="0" fontId="6" fillId="9" borderId="25" xfId="0" applyFont="1" applyFill="1" applyBorder="1" applyAlignment="1">
      <alignment horizontal="left" vertical="center" wrapText="1" readingOrder="1"/>
    </xf>
    <xf numFmtId="14" fontId="6" fillId="9" borderId="25" xfId="0" applyNumberFormat="1" applyFont="1" applyFill="1" applyBorder="1" applyAlignment="1">
      <alignment horizontal="left" vertical="center" wrapText="1" readingOrder="1"/>
    </xf>
    <xf numFmtId="0" fontId="28" fillId="16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22" fillId="3" borderId="1" xfId="0" applyFont="1" applyFill="1" applyBorder="1"/>
    <xf numFmtId="0" fontId="22" fillId="3" borderId="1" xfId="0" applyFont="1" applyFill="1" applyBorder="1" applyAlignment="1">
      <alignment horizontal="center"/>
    </xf>
    <xf numFmtId="0" fontId="29" fillId="17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/>
    </xf>
    <xf numFmtId="0" fontId="25" fillId="11" borderId="0" xfId="0" applyFont="1" applyFill="1" applyAlignment="1">
      <alignment horizontal="center" vertical="center" wrapText="1"/>
    </xf>
    <xf numFmtId="14" fontId="19" fillId="3" borderId="0" xfId="0" applyNumberFormat="1" applyFont="1" applyFill="1" applyAlignment="1">
      <alignment horizontal="center"/>
    </xf>
    <xf numFmtId="165" fontId="19" fillId="18" borderId="0" xfId="0" applyNumberFormat="1" applyFont="1" applyFill="1" applyAlignment="1">
      <alignment horizontal="center"/>
    </xf>
    <xf numFmtId="0" fontId="20" fillId="0" borderId="0" xfId="0" applyFont="1"/>
    <xf numFmtId="165" fontId="19" fillId="3" borderId="0" xfId="0" applyNumberFormat="1" applyFont="1" applyFill="1" applyAlignment="1">
      <alignment horizontal="center"/>
    </xf>
    <xf numFmtId="165" fontId="31" fillId="0" borderId="0" xfId="0" applyNumberFormat="1" applyFont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left"/>
    </xf>
    <xf numFmtId="0" fontId="19" fillId="3" borderId="0" xfId="0" applyFont="1" applyFill="1"/>
    <xf numFmtId="0" fontId="0" fillId="3" borderId="0" xfId="0" applyFill="1" applyAlignment="1">
      <alignment horizontal="center"/>
    </xf>
    <xf numFmtId="0" fontId="32" fillId="4" borderId="17" xfId="0" applyFont="1" applyFill="1" applyBorder="1"/>
    <xf numFmtId="14" fontId="32" fillId="4" borderId="21" xfId="0" applyNumberFormat="1" applyFont="1" applyFill="1" applyBorder="1"/>
    <xf numFmtId="0" fontId="33" fillId="4" borderId="17" xfId="0" applyFont="1" applyFill="1" applyBorder="1" applyAlignment="1">
      <alignment horizontal="left"/>
    </xf>
    <xf numFmtId="0" fontId="19" fillId="3" borderId="0" xfId="0" applyFont="1" applyFill="1" applyAlignment="1">
      <alignment horizontal="left" vertical="center"/>
    </xf>
    <xf numFmtId="0" fontId="32" fillId="4" borderId="21" xfId="0" applyFont="1" applyFill="1" applyBorder="1" applyAlignment="1">
      <alignment horizontal="center" vertical="center"/>
    </xf>
    <xf numFmtId="0" fontId="32" fillId="4" borderId="26" xfId="0" applyFont="1" applyFill="1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7" fillId="9" borderId="22" xfId="0" applyFont="1" applyFill="1" applyBorder="1" applyAlignment="1">
      <alignment horizontal="left" vertical="center" wrapText="1" readingOrder="1"/>
    </xf>
    <xf numFmtId="0" fontId="17" fillId="9" borderId="23" xfId="0" applyFont="1" applyFill="1" applyBorder="1" applyAlignment="1">
      <alignment horizontal="left" vertical="center" wrapText="1" readingOrder="1"/>
    </xf>
    <xf numFmtId="0" fontId="28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color auto="1"/>
      </font>
      <numFmt numFmtId="30" formatCode="@"/>
      <fill>
        <gradientFill degree="45">
          <stop position="0">
            <color theme="0"/>
          </stop>
          <stop position="1">
            <color rgb="FF00B05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1">
            <color rgb="FFFF5757"/>
          </stop>
        </gradientFill>
      </fill>
    </dxf>
    <dxf>
      <font>
        <b val="0"/>
        <i val="0"/>
        <color auto="1"/>
      </font>
      <numFmt numFmtId="30" formatCode="@"/>
      <fill>
        <gradientFill degree="45">
          <stop position="0">
            <color theme="0"/>
          </stop>
          <stop position="1">
            <color rgb="FF00B05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1">
            <color rgb="FFFF5757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senasofiaplus.edu.co/sofia/desarrollocurricular/popup/PopupDetalleActividad.faces?actividadId=11488820&amp;conversationContext=g" TargetMode="External"/><Relationship Id="rId2" Type="http://schemas.openxmlformats.org/officeDocument/2006/relationships/hyperlink" Target="http://senasofiaplus.edu.co/sofia/desarrollocurricular/popup/PopupDetalleActividad.faces?actividadId=11488816&amp;conversationContext=g" TargetMode="External"/><Relationship Id="rId1" Type="http://schemas.openxmlformats.org/officeDocument/2006/relationships/hyperlink" Target="http://senasofiaplus.edu.co/sofia/desarrollocurricular/popup/PopupDetalleActividad.faces?actividadId=11488814&amp;conversationContext=g" TargetMode="External"/><Relationship Id="rId4" Type="http://schemas.openxmlformats.org/officeDocument/2006/relationships/hyperlink" Target="http://senasofiaplus.edu.co/sofia/desarrollocurricular/popup/PopupDetalleActividad.faces?actividadId=10961098&amp;conversationContext=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" name="formConsultar:competenciasPorPrograma:0:0:t2325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8E9B0-C036-45AD-BBFA-A33B9AC5BCC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" name="formConsultar:competenciasPorPrograma:0:1:t2326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ED0397-30FD-4066-B564-9EF2B0330E6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4" name="formConsultar:competenciasPorPrograma:0:3:t2328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D747F-8340-43AC-82F3-66F0698F0C9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5" name="formConsultar:competenciasPorPrograma:0:3:t2334" descr="Nav control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6ED856-E084-4697-8908-DB335EBF765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6" name="formConsultar:competenciasPorPrograma:0:0:t2354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DB34E1-661A-4C1D-93FB-F9AC3633D7F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7" name="formConsultar:competenciasPorPrograma:0:1:t2355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8C93F8-A676-476B-A402-7C7EF15FB6D9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8" name="formConsultar:competenciasPorPrograma:0:2:t2356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94BC2C-EBB6-4A8A-8141-EFD6692BEFC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9" name="formConsultar:competenciasPorPrograma:0:4:t2358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13CFFA-11D6-4660-80BC-8785DF8BD5F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0" name="formConsultar:competenciasPorPrograma:0:6:t2360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2D3C74-9900-4E89-995F-5DF9AE70D9E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1" name="formConsultar:competenciasPorPrograma:0:0:t2702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B384BA-C8AE-4064-868A-89F5A1B35E1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2" name="formConsultar:competenciasPorPrograma:0:1:t2703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B74B6-DBDD-4491-B62A-EFBF440E7CA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3" name="formConsultar:competenciasPorPrograma:0:3:t2705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7EDDC-9861-4415-A980-608BB8D2C20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4" name="formConsultar:competenciasPorPrograma:0:2:t2710" descr="Nav control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25B140-F324-462E-8363-FE8F3C6BF71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5" name="formConsultar:competenciasPorPrograma:0:0:t2738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C5247B-08B6-47E3-AAC4-CB41F840AAB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6" name="formConsultar:competenciasPorPrograma:0:1:t2739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B6898E-3E6C-4F40-B238-6ED385937C7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7" name="formConsultar:competenciasPorPrograma:0:2:t2740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ADEB7-D96C-4010-B6C0-5FF0889246D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8" name="formConsultar:competenciasPorPrograma:0:4:t2742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6D8D3A-733B-4817-AE7E-4A4560A4420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19" name="formConsultar:competenciasPorPrograma:0:6:t2744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981C5E-2ED9-4ECB-915A-E4BE036C52A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0" name="formConsultar:competenciasPorPrograma:0:0:t2750" descr="Nav control ima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FED8AB-AF87-422C-8625-2A915FCEECC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1" name="formConsultar:competenciasPorPrograma:0:0:t2325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AC7795-2556-4E54-9AB7-C15E90E1F46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2" name="formConsultar:competenciasPorPrograma:0:1:t2326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5ABBA2-0B81-4C8C-AEA0-B576D53CBDA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3" name="formConsultar:competenciasPorPrograma:0:3:t2328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3D5702-14FF-465B-8801-32CDBAFEA41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4" name="formConsultar:competenciasPorPrograma:0:3:t2334" descr="Nav control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A5ADD8-B528-4775-835B-A2D8F6D9476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5" name="formConsultar:competenciasPorPrograma:0:0:t2354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730254-7C51-49B6-8F91-8C1558587479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6" name="formConsultar:competenciasPorPrograma:0:1:t2355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D7E4AD-1E1C-4242-A209-9469FC0145F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7" name="formConsultar:competenciasPorPrograma:0:2:t2356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E5033C-6CBA-4868-BEE0-AF108EDD134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8" name="formConsultar:competenciasPorPrograma:0:4:t2358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F6FFC8-9DD3-4737-BD99-8F1C9618E7D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29" name="formConsultar:competenciasPorPrograma:0:6:t2360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15707-9A32-4964-B049-D8322E800DF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0" name="formConsultar:competenciasPorPrograma:0:0:t2702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72611-16F1-4407-8E8F-B6D194D73B2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1" name="formConsultar:competenciasPorPrograma:0:1:t2703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7E44F1-0E47-43FC-BB81-17835BCDC16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2" name="formConsultar:competenciasPorPrograma:0:3:t2705" descr="Nav control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33313-EB74-4EE6-8111-DE1B6480207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3" name="formConsultar:competenciasPorPrograma:0:2:t2710" descr="Nav control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5F2107-E6E6-4142-A6DF-5ED5AD9F53E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4" name="formConsultar:competenciasPorPrograma:0:0:t2738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8E56AC-333F-4C19-8DAA-4D10E84FA469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5" name="formConsultar:competenciasPorPrograma:0:1:t2739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E840F9-3D51-49E2-9EC7-25656296E4C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6" name="formConsultar:competenciasPorPrograma:0:2:t2740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2CED45-0868-4BB5-AE85-9654B74AE0F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7" name="formConsultar:competenciasPorPrograma:0:4:t2742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07E6F8-087A-466E-A14A-56C799A2920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8" name="formConsultar:competenciasPorPrograma:0:6:t2744" descr="Nav control im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4D1AB4-0937-4628-855F-BF6FF1D4685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180975</xdr:colOff>
      <xdr:row>14</xdr:row>
      <xdr:rowOff>171450</xdr:rowOff>
    </xdr:to>
    <xdr:sp macro="" textlink="">
      <xdr:nvSpPr>
        <xdr:cNvPr id="39" name="formConsultar:competenciasPorPrograma:0:0:t2750" descr="Nav control ima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2C7E3F-5B90-44F0-A9A4-B0D49FEBE6ED}"/>
            </a:ext>
          </a:extLst>
        </xdr:cNvPr>
        <xdr:cNvSpPr>
          <a:spLocks noChangeAspect="1" noChangeArrowheads="1"/>
        </xdr:cNvSpPr>
      </xdr:nvSpPr>
      <xdr:spPr bwMode="auto">
        <a:xfrm>
          <a:off x="5819775" y="226695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ison%20silva\Desktop\PROGRAMACION%202026\ENERO\programacion%20CONSOLIDADO%2016102025.xlsm" TargetMode="External"/><Relationship Id="rId1" Type="http://schemas.openxmlformats.org/officeDocument/2006/relationships/externalLinkPath" Target="programacion%20CONSOLIDADO%201610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ison%20silva\Desktop\PROGRAMACION%202026\ENERO\Copia%20de%20programacion%20CONSOLIDADO%202026.xlsm" TargetMode="External"/><Relationship Id="rId1" Type="http://schemas.openxmlformats.org/officeDocument/2006/relationships/externalLinkPath" Target="Copia%20de%20programacion%20CONSOLIDAD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os"/>
      <sheetName val="tecnicos"/>
      <sheetName val="bilinguismo"/>
      <sheetName val="Detalle1"/>
      <sheetName val="Detalle2"/>
      <sheetName val="transversales"/>
      <sheetName val="fichas"/>
      <sheetName val="viejas"/>
      <sheetName val="actuales"/>
      <sheetName val="6to25"/>
      <sheetName val="7mo25"/>
      <sheetName val="8vo25"/>
      <sheetName val="detallado"/>
      <sheetName val="1er25"/>
      <sheetName val="2do25"/>
      <sheetName val="3er25"/>
      <sheetName val="4to25"/>
      <sheetName val="5to25"/>
      <sheetName val="1er"/>
      <sheetName val="2do"/>
      <sheetName val="3er"/>
      <sheetName val="4to"/>
      <sheetName val="5to"/>
      <sheetName val="6to"/>
      <sheetName val="7mo"/>
      <sheetName val="8vo"/>
      <sheetName val="9no"/>
      <sheetName val="10mo"/>
      <sheetName val="periodos"/>
      <sheetName val="ins trans"/>
      <sheetName val="comxpro"/>
      <sheetName val="PE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NFICHA</v>
          </cell>
          <cell r="B1" t="str">
            <v>NOMBRE</v>
          </cell>
          <cell r="C1" t="str">
            <v>NIVEL</v>
          </cell>
          <cell r="D1" t="str">
            <v>PROGRAMA</v>
          </cell>
          <cell r="E1" t="str">
            <v>FECHA_INICIO</v>
          </cell>
          <cell r="F1" t="str">
            <v>APRENDICES</v>
          </cell>
          <cell r="G1" t="str">
            <v>INS_TECNICO</v>
          </cell>
          <cell r="H1" t="str">
            <v>COMPETENCIA</v>
          </cell>
        </row>
        <row r="2">
          <cell r="A2">
            <v>2977763</v>
          </cell>
          <cell r="B2" t="str">
            <v>LAURA SOFIA PAEZ GALLO</v>
          </cell>
          <cell r="C2" t="str">
            <v>TECNOLOGO</v>
          </cell>
          <cell r="D2" t="str">
            <v>COORDINACION DE PROCESOS LOGISTICOS</v>
          </cell>
          <cell r="E2" t="str">
            <v>14/05/2024</v>
          </cell>
          <cell r="F2">
            <v>43</v>
          </cell>
          <cell r="G2" t="str">
            <v>NIXA TATIANA OLAVE PEREZ</v>
          </cell>
          <cell r="H2" t="str">
            <v>CIE</v>
          </cell>
        </row>
        <row r="3">
          <cell r="A3">
            <v>3070345</v>
          </cell>
          <cell r="B3" t="str">
            <v>LAURA SOFIA PAEZ GALLO</v>
          </cell>
          <cell r="C3" t="str">
            <v>TECNOLOGO</v>
          </cell>
          <cell r="D3" t="str">
            <v>COORDINACION DE PROCESOS LOGISTICOS</v>
          </cell>
          <cell r="E3" t="str">
            <v>16/09/2024</v>
          </cell>
          <cell r="F3">
            <v>41</v>
          </cell>
          <cell r="G3" t="str">
            <v>JAVIER GERARDO VIVAS PRIETO</v>
          </cell>
          <cell r="H3" t="str">
            <v>CIE</v>
          </cell>
        </row>
        <row r="4">
          <cell r="A4">
            <v>2977741</v>
          </cell>
          <cell r="B4" t="str">
            <v>LAURA SOFIA PAEZ GALLO</v>
          </cell>
          <cell r="C4" t="str">
            <v>TECNOLOGO</v>
          </cell>
          <cell r="D4" t="str">
            <v>COORDINACION DE PROCESOS LOGISTICOS</v>
          </cell>
          <cell r="E4" t="str">
            <v>14/05/2024</v>
          </cell>
          <cell r="F4">
            <v>31</v>
          </cell>
          <cell r="G4" t="str">
            <v>JUAN CAMILO BOHORQUEZ RODRIGUEZ</v>
          </cell>
          <cell r="H4" t="str">
            <v>CIE</v>
          </cell>
        </row>
        <row r="5">
          <cell r="A5">
            <v>2977755</v>
          </cell>
          <cell r="B5" t="str">
            <v>LAURA SOFIA PAEZ GALLO</v>
          </cell>
          <cell r="C5" t="str">
            <v>TECNOLOGO</v>
          </cell>
          <cell r="D5" t="str">
            <v>COORDINACION DE PROCESOS LOGISTICOS</v>
          </cell>
          <cell r="E5" t="str">
            <v>14/05/2024</v>
          </cell>
          <cell r="F5">
            <v>31</v>
          </cell>
          <cell r="G5" t="str">
            <v>LAURA VIVIANA MONTERO</v>
          </cell>
          <cell r="H5" t="str">
            <v>CIE</v>
          </cell>
        </row>
        <row r="6">
          <cell r="A6">
            <v>3235976</v>
          </cell>
          <cell r="B6" t="str">
            <v>LAURA SOFIA PAEZ GALLO</v>
          </cell>
          <cell r="C6" t="str">
            <v>TECNOLOGO</v>
          </cell>
          <cell r="D6" t="str">
            <v>COORDINACION DE PROCESOS LOGISTICOS</v>
          </cell>
          <cell r="E6">
            <v>45811</v>
          </cell>
          <cell r="F6">
            <v>68</v>
          </cell>
          <cell r="G6" t="str">
            <v>CLAUDIA ROCIO VACCA GARCIA</v>
          </cell>
          <cell r="H6" t="str">
            <v>CIE</v>
          </cell>
        </row>
        <row r="7">
          <cell r="A7">
            <v>3186285</v>
          </cell>
          <cell r="B7" t="str">
            <v>CESAR AUGUSTO BERMEO</v>
          </cell>
          <cell r="C7" t="str">
            <v>TECNICO</v>
          </cell>
          <cell r="D7" t="str">
            <v>SERVICIOS COMERCIALES Y FINANCIEROS</v>
          </cell>
          <cell r="E7">
            <v>45747</v>
          </cell>
          <cell r="F7">
            <v>76</v>
          </cell>
          <cell r="G7" t="str">
            <v>FRANKELI RODRIGUEZ VELASCO</v>
          </cell>
          <cell r="H7" t="str">
            <v>COM</v>
          </cell>
        </row>
        <row r="8">
          <cell r="A8">
            <v>3118514</v>
          </cell>
          <cell r="B8" t="str">
            <v>CESAR AUGUSTO BERMEO</v>
          </cell>
          <cell r="C8" t="str">
            <v>TECNOLOGO</v>
          </cell>
          <cell r="D8" t="str">
            <v>DESARROLLO DE MEDIOS GRAFICOS VISUALES</v>
          </cell>
          <cell r="E8" t="str">
            <v>18/11/2024</v>
          </cell>
          <cell r="F8">
            <v>43</v>
          </cell>
          <cell r="G8" t="str">
            <v>VIVIANA MARCELA AGUDELO GARCIA</v>
          </cell>
          <cell r="H8" t="str">
            <v>COM</v>
          </cell>
        </row>
        <row r="9">
          <cell r="A9">
            <v>3118510</v>
          </cell>
          <cell r="B9" t="str">
            <v>CESAR AUGUSTO BERMEO</v>
          </cell>
          <cell r="C9" t="str">
            <v>TECNOLOGO</v>
          </cell>
          <cell r="D9" t="str">
            <v>DESARROLLO DE MEDIOS GRAFICOS VISUALES</v>
          </cell>
          <cell r="E9" t="str">
            <v>18/11/2024</v>
          </cell>
          <cell r="F9">
            <v>42</v>
          </cell>
          <cell r="G9" t="str">
            <v>JOHN JAIRO LEON MEZA</v>
          </cell>
          <cell r="H9" t="str">
            <v>COM</v>
          </cell>
        </row>
        <row r="10">
          <cell r="A10">
            <v>3118513</v>
          </cell>
          <cell r="B10" t="str">
            <v>CESAR AUGUSTO BERMEO</v>
          </cell>
          <cell r="C10" t="str">
            <v>TECNOLOGO</v>
          </cell>
          <cell r="D10" t="str">
            <v>DESARROLLO DE MEDIOS GRAFICOS VISUALES</v>
          </cell>
          <cell r="E10" t="str">
            <v>18/11/2024</v>
          </cell>
          <cell r="F10">
            <v>42</v>
          </cell>
          <cell r="G10" t="str">
            <v>VIVIANA MARCELA AGUDELO GARCIA</v>
          </cell>
          <cell r="H10" t="str">
            <v>COM</v>
          </cell>
        </row>
        <row r="11">
          <cell r="A11">
            <v>3118499</v>
          </cell>
          <cell r="B11" t="str">
            <v>CESAR AUGUSTO BERMEO</v>
          </cell>
          <cell r="C11" t="str">
            <v>TECNOLOGO</v>
          </cell>
          <cell r="D11" t="str">
            <v>ANALISIS Y DESARROLLO DE SOFTWARE</v>
          </cell>
          <cell r="E11" t="str">
            <v>18/11/2024</v>
          </cell>
          <cell r="F11">
            <v>39</v>
          </cell>
          <cell r="G11" t="str">
            <v>EDUER PABON MORALES</v>
          </cell>
          <cell r="H11" t="str">
            <v>COM</v>
          </cell>
        </row>
        <row r="12">
          <cell r="A12">
            <v>3236103</v>
          </cell>
          <cell r="B12" t="str">
            <v>CESAR AUGUSTO BERMEO</v>
          </cell>
          <cell r="C12" t="str">
            <v>TECNICO</v>
          </cell>
          <cell r="D12" t="str">
            <v>SERVICIOS COMERCIALES Y FINANCIEROS</v>
          </cell>
          <cell r="E12">
            <v>45811</v>
          </cell>
          <cell r="F12">
            <v>68</v>
          </cell>
          <cell r="G12" t="str">
            <v>MOISES EDGARDO MERIÑO POLO</v>
          </cell>
          <cell r="H12" t="str">
            <v>COM</v>
          </cell>
        </row>
        <row r="13">
          <cell r="A13">
            <v>3236104</v>
          </cell>
          <cell r="B13" t="str">
            <v>JORGE ARMANDO PIEDRAHITA</v>
          </cell>
          <cell r="C13" t="str">
            <v>TECNICO</v>
          </cell>
          <cell r="D13" t="str">
            <v>SERVICIOS COMERCIALES Y FINANCIEROS</v>
          </cell>
          <cell r="E13">
            <v>45811</v>
          </cell>
          <cell r="F13">
            <v>73</v>
          </cell>
          <cell r="G13" t="str">
            <v>MOISES EDGARDO MERIÑO POLO</v>
          </cell>
          <cell r="H13" t="str">
            <v>COM</v>
          </cell>
        </row>
        <row r="14">
          <cell r="A14">
            <v>3118509</v>
          </cell>
          <cell r="B14" t="str">
            <v>JORGE ARMANDO PIEDRAHITA</v>
          </cell>
          <cell r="C14" t="str">
            <v>TECNOLOGO</v>
          </cell>
          <cell r="D14" t="str">
            <v>DESARROLLO DE MEDIOS GRAFICOS VISUALES</v>
          </cell>
          <cell r="E14" t="str">
            <v>18/11/2024</v>
          </cell>
          <cell r="F14">
            <v>42</v>
          </cell>
          <cell r="G14" t="str">
            <v>WANDA POSADA PAZ</v>
          </cell>
          <cell r="H14" t="str">
            <v>COM</v>
          </cell>
        </row>
        <row r="15">
          <cell r="A15">
            <v>3118511</v>
          </cell>
          <cell r="B15" t="str">
            <v>JORGE ARMANDO PIEDRAHITA</v>
          </cell>
          <cell r="C15" t="str">
            <v>TECNOLOGO</v>
          </cell>
          <cell r="D15" t="str">
            <v>DESARROLLO DE MEDIOS GRAFICOS VISUALES</v>
          </cell>
          <cell r="E15" t="str">
            <v>18/11/2024</v>
          </cell>
          <cell r="F15">
            <v>42</v>
          </cell>
          <cell r="G15" t="str">
            <v>JOHN JAIRO LEON MEZA</v>
          </cell>
          <cell r="H15" t="str">
            <v>COM</v>
          </cell>
        </row>
        <row r="16">
          <cell r="A16">
            <v>3118512</v>
          </cell>
          <cell r="B16" t="str">
            <v>JORGE ARMANDO PIEDRAHITA</v>
          </cell>
          <cell r="C16" t="str">
            <v>TECNOLOGO</v>
          </cell>
          <cell r="D16" t="str">
            <v>DESARROLLO DE MEDIOS GRAFICOS VISUALES</v>
          </cell>
          <cell r="E16" t="str">
            <v>18/11/2024</v>
          </cell>
          <cell r="F16">
            <v>41</v>
          </cell>
          <cell r="G16" t="str">
            <v>JOHN JAIRO LEON MEZA</v>
          </cell>
          <cell r="H16" t="str">
            <v>COM</v>
          </cell>
        </row>
        <row r="17">
          <cell r="A17">
            <v>3118515</v>
          </cell>
          <cell r="B17" t="str">
            <v>JORGE ARMANDO PIEDRAHITA</v>
          </cell>
          <cell r="C17" t="str">
            <v>TECNOLOGO</v>
          </cell>
          <cell r="D17" t="str">
            <v>DESARROLLO DE MEDIOS GRAFICOS VISUALES</v>
          </cell>
          <cell r="E17" t="str">
            <v>18/11/2024</v>
          </cell>
          <cell r="F17">
            <v>36</v>
          </cell>
          <cell r="G17" t="str">
            <v>VIVIANA MARCELA AGUDELO GARCIA</v>
          </cell>
          <cell r="H17" t="str">
            <v>COM</v>
          </cell>
        </row>
        <row r="18">
          <cell r="A18">
            <v>3118498</v>
          </cell>
          <cell r="B18" t="str">
            <v>JORGE ARMANDO PIEDRAHITA</v>
          </cell>
          <cell r="C18" t="str">
            <v>TECNOLOGO</v>
          </cell>
          <cell r="D18" t="str">
            <v>ANALISIS Y DESARROLLO DE SOFTWARE</v>
          </cell>
          <cell r="E18" t="str">
            <v>18/11/2024</v>
          </cell>
          <cell r="F18">
            <v>43</v>
          </cell>
          <cell r="G18" t="str">
            <v>EDUER PABON MORALES</v>
          </cell>
          <cell r="H18" t="str">
            <v>COM</v>
          </cell>
        </row>
        <row r="19">
          <cell r="A19">
            <v>3236062</v>
          </cell>
          <cell r="B19" t="str">
            <v>CHRISTIAN CAMILO RODRIGUEZ SALAS</v>
          </cell>
          <cell r="C19" t="str">
            <v>TECNICO</v>
          </cell>
          <cell r="D19" t="str">
            <v>SERVICIOS COMERCIALES Y FINANCIEROS</v>
          </cell>
          <cell r="E19">
            <v>45811</v>
          </cell>
          <cell r="F19">
            <v>72</v>
          </cell>
          <cell r="G19" t="str">
            <v>MOISES EDGARDO MERIÑO POLO</v>
          </cell>
          <cell r="H19" t="str">
            <v>CUL</v>
          </cell>
        </row>
        <row r="20">
          <cell r="A20">
            <v>3118497</v>
          </cell>
          <cell r="B20" t="str">
            <v>CHRISTIAN CAMILO RODRIGUEZ SALAS</v>
          </cell>
          <cell r="C20" t="str">
            <v>TECNOLOGO</v>
          </cell>
          <cell r="D20" t="str">
            <v>ANALISIS Y DESARROLLO DE SOFTWARE</v>
          </cell>
          <cell r="E20" t="str">
            <v>18/11/2024</v>
          </cell>
          <cell r="F20">
            <v>43</v>
          </cell>
          <cell r="G20" t="str">
            <v>EDUER PABON MORALES</v>
          </cell>
          <cell r="H20" t="str">
            <v>CUL</v>
          </cell>
        </row>
        <row r="21">
          <cell r="A21">
            <v>2977469</v>
          </cell>
          <cell r="B21" t="str">
            <v>CHRISTIAN CAMILO RODRIGUEZ SALAS</v>
          </cell>
          <cell r="C21" t="str">
            <v>TECNOLOGO</v>
          </cell>
          <cell r="D21" t="str">
            <v>ANALISIS Y DESARROLLO DE SOFTWARE</v>
          </cell>
          <cell r="E21" t="str">
            <v>14/05/2024</v>
          </cell>
          <cell r="F21">
            <v>41</v>
          </cell>
          <cell r="G21" t="str">
            <v>ANA MILENA MOSQUERA SEVILLA</v>
          </cell>
          <cell r="H21" t="str">
            <v>CUL</v>
          </cell>
        </row>
        <row r="22">
          <cell r="A22">
            <v>3070296</v>
          </cell>
          <cell r="B22" t="str">
            <v>CHRISTIAN CAMILO RODRIGUEZ SALAS</v>
          </cell>
          <cell r="C22" t="str">
            <v>TECNOLOGO</v>
          </cell>
          <cell r="D22" t="str">
            <v>ANALISIS Y DESARROLLO DE SOFTWARE</v>
          </cell>
          <cell r="E22" t="str">
            <v>16/09/2024</v>
          </cell>
          <cell r="F22">
            <v>39</v>
          </cell>
          <cell r="G22" t="str">
            <v>DAVID EDUARDO LEON</v>
          </cell>
          <cell r="H22" t="str">
            <v>CUL</v>
          </cell>
        </row>
        <row r="23">
          <cell r="A23">
            <v>2977473</v>
          </cell>
          <cell r="B23" t="str">
            <v>CHRISTIAN CAMILO RODRIGUEZ SALAS</v>
          </cell>
          <cell r="C23" t="str">
            <v>TECNOLOGO</v>
          </cell>
          <cell r="D23" t="str">
            <v>ANALISIS Y DESARROLLO DE SOFTWARE</v>
          </cell>
          <cell r="E23" t="str">
            <v>14/05/2024</v>
          </cell>
          <cell r="F23">
            <v>28</v>
          </cell>
          <cell r="G23" t="str">
            <v>GUSTAVO ADOLFO CHACON</v>
          </cell>
          <cell r="H23" t="str">
            <v>CUL</v>
          </cell>
        </row>
        <row r="24">
          <cell r="A24">
            <v>3118491</v>
          </cell>
          <cell r="B24" t="str">
            <v>CHRISTIAN CAMILO RODRIGUEZ SALAS</v>
          </cell>
          <cell r="C24" t="str">
            <v>TECNOLOGO</v>
          </cell>
          <cell r="D24" t="str">
            <v>ANALISIS Y DESARROLLO DE SOFTWARE</v>
          </cell>
          <cell r="E24" t="str">
            <v>18/11/2024</v>
          </cell>
          <cell r="F24">
            <v>43</v>
          </cell>
          <cell r="G24" t="str">
            <v>ANDRES RUBIANO CUCARIAN</v>
          </cell>
          <cell r="H24" t="str">
            <v>CUL</v>
          </cell>
        </row>
        <row r="25">
          <cell r="A25">
            <v>3118496</v>
          </cell>
          <cell r="B25" t="str">
            <v>MELISSA ANDREA LAITON GARNICA</v>
          </cell>
          <cell r="C25" t="str">
            <v>TECNOLOGO</v>
          </cell>
          <cell r="D25" t="str">
            <v>ANALISIS Y DESARROLLO DE SOFTWARE</v>
          </cell>
          <cell r="E25" t="str">
            <v>18/11/2024</v>
          </cell>
          <cell r="F25">
            <v>43</v>
          </cell>
          <cell r="G25" t="str">
            <v>ALEX EDUARDO ZAMBRANO PEREZ</v>
          </cell>
          <cell r="H25" t="str">
            <v>CUL</v>
          </cell>
        </row>
        <row r="26">
          <cell r="A26">
            <v>3118494</v>
          </cell>
          <cell r="B26" t="str">
            <v>MELISSA ANDREA LAITON GARNICA</v>
          </cell>
          <cell r="C26" t="str">
            <v>TECNOLOGO</v>
          </cell>
          <cell r="D26" t="str">
            <v>ANALISIS Y DESARROLLO DE SOFTWARE</v>
          </cell>
          <cell r="E26" t="str">
            <v>18/11/2024</v>
          </cell>
          <cell r="F26">
            <v>42</v>
          </cell>
          <cell r="G26" t="str">
            <v>ALEX EDUARDO ZAMBRANO PEREZ</v>
          </cell>
          <cell r="H26" t="str">
            <v>CUL</v>
          </cell>
        </row>
        <row r="27">
          <cell r="A27">
            <v>3118493</v>
          </cell>
          <cell r="B27" t="str">
            <v>MELISSA ANDREA LAITON GARNICA</v>
          </cell>
          <cell r="C27" t="str">
            <v>TECNOLOGO</v>
          </cell>
          <cell r="D27" t="str">
            <v>ANALISIS Y DESARROLLO DE SOFTWARE</v>
          </cell>
          <cell r="E27" t="str">
            <v>18/11/2024</v>
          </cell>
          <cell r="F27">
            <v>41</v>
          </cell>
          <cell r="G27" t="str">
            <v>ANDRES RUBIANO CUCARIAN</v>
          </cell>
          <cell r="H27" t="str">
            <v>CUL</v>
          </cell>
        </row>
        <row r="28">
          <cell r="A28">
            <v>3118495</v>
          </cell>
          <cell r="B28" t="str">
            <v>MELISSA ANDREA LAITON GARNICA</v>
          </cell>
          <cell r="C28" t="str">
            <v>TECNOLOGO</v>
          </cell>
          <cell r="D28" t="str">
            <v>ANALISIS Y DESARROLLO DE SOFTWARE</v>
          </cell>
          <cell r="E28" t="str">
            <v>18/11/2024</v>
          </cell>
          <cell r="F28">
            <v>39</v>
          </cell>
          <cell r="G28" t="str">
            <v>ALEX EDUARDO ZAMBRANO PEREZ</v>
          </cell>
          <cell r="H28" t="str">
            <v>CUL</v>
          </cell>
        </row>
        <row r="29">
          <cell r="A29">
            <v>3070313</v>
          </cell>
          <cell r="B29" t="str">
            <v>MELISSA ANDREA LAITON GARNICA</v>
          </cell>
          <cell r="C29" t="str">
            <v>TECNOLOGO</v>
          </cell>
          <cell r="D29" t="str">
            <v>ANALISIS Y DESARROLLO DE SOFTWARE</v>
          </cell>
          <cell r="E29" t="str">
            <v>16/09/2024</v>
          </cell>
          <cell r="F29">
            <v>33</v>
          </cell>
          <cell r="G29" t="str">
            <v>DAVID EDUARDO LEON</v>
          </cell>
          <cell r="H29" t="str">
            <v>CUL</v>
          </cell>
        </row>
        <row r="30">
          <cell r="A30">
            <v>2977470</v>
          </cell>
          <cell r="B30" t="str">
            <v>MELISSA ANDREA LAITON GARNICA</v>
          </cell>
          <cell r="C30" t="str">
            <v>TECNOLOGO</v>
          </cell>
          <cell r="D30" t="str">
            <v>ANALISIS Y DESARROLLO DE SOFTWARE</v>
          </cell>
          <cell r="E30" t="str">
            <v>14/05/2024</v>
          </cell>
          <cell r="F30">
            <v>27</v>
          </cell>
          <cell r="G30" t="str">
            <v>GUSTAVO ADOLFO CHACON</v>
          </cell>
          <cell r="H30" t="str">
            <v>CUL</v>
          </cell>
        </row>
        <row r="31">
          <cell r="A31">
            <v>3118311</v>
          </cell>
          <cell r="B31" t="str">
            <v>MELISSA ANDREA LAITON GARNICA</v>
          </cell>
          <cell r="C31" t="str">
            <v>TECNOLOGO</v>
          </cell>
          <cell r="D31" t="str">
            <v>ANALISIS Y DESARROLLO DE SOFTWARE</v>
          </cell>
          <cell r="E31" t="str">
            <v>18/11/2024</v>
          </cell>
          <cell r="F31">
            <v>37</v>
          </cell>
          <cell r="G31" t="str">
            <v>ANDRES RUBIANO CUCARIAN</v>
          </cell>
          <cell r="H31" t="str">
            <v>CUL</v>
          </cell>
        </row>
        <row r="32">
          <cell r="A32">
            <v>3186207</v>
          </cell>
          <cell r="B32" t="str">
            <v>HECTOR ANDRES CIPAMOCHA CENTENO</v>
          </cell>
          <cell r="C32" t="str">
            <v>TECNICO</v>
          </cell>
          <cell r="D32" t="str">
            <v>OPERACIONES COMERCIALES EN RETAIL</v>
          </cell>
          <cell r="E32">
            <v>45747</v>
          </cell>
          <cell r="F32">
            <v>71</v>
          </cell>
          <cell r="G32" t="str">
            <v>KEBIN CUESTA RENTERIA</v>
          </cell>
          <cell r="H32" t="str">
            <v>DER</v>
          </cell>
        </row>
        <row r="33">
          <cell r="A33">
            <v>3134622</v>
          </cell>
          <cell r="B33" t="str">
            <v>HECTOR ANDRES CIPAMOCHA CENTENO</v>
          </cell>
          <cell r="C33" t="str">
            <v>TECNOLOGO</v>
          </cell>
          <cell r="D33" t="str">
            <v>ANALISIS Y DESARROLLO DE SOFTWARE</v>
          </cell>
          <cell r="E33" t="str">
            <v>09/12/2024</v>
          </cell>
          <cell r="F33">
            <v>43</v>
          </cell>
          <cell r="G33" t="str">
            <v>ELIZABETH GELVES GELVES</v>
          </cell>
          <cell r="H33" t="str">
            <v>DER</v>
          </cell>
        </row>
        <row r="34">
          <cell r="A34">
            <v>3118508</v>
          </cell>
          <cell r="B34" t="str">
            <v>HECTOR ANDRES CIPAMOCHA CENTENO</v>
          </cell>
          <cell r="C34" t="str">
            <v>TECNOLOGO</v>
          </cell>
          <cell r="D34" t="str">
            <v>DESARROLLO DE MEDIOS GRAFICOS VISUALES</v>
          </cell>
          <cell r="E34" t="str">
            <v>18/11/2024</v>
          </cell>
          <cell r="F34">
            <v>40</v>
          </cell>
          <cell r="G34" t="str">
            <v>WANDA POSADA PAZ</v>
          </cell>
          <cell r="H34" t="str">
            <v>DER</v>
          </cell>
        </row>
        <row r="35">
          <cell r="A35">
            <v>3070317</v>
          </cell>
          <cell r="B35" t="str">
            <v>HECTOR ANDRES CIPAMOCHA CENTENO</v>
          </cell>
          <cell r="C35" t="str">
            <v>TECNOLOGO</v>
          </cell>
          <cell r="D35" t="str">
            <v>ANALISIS Y DESARROLLO DE SOFTWARE</v>
          </cell>
          <cell r="E35" t="str">
            <v>16/09/2024</v>
          </cell>
          <cell r="F35">
            <v>36</v>
          </cell>
          <cell r="G35" t="str">
            <v>CAMILO ERNESTO PARRA LOPEZ</v>
          </cell>
          <cell r="H35" t="str">
            <v>DER</v>
          </cell>
        </row>
        <row r="36">
          <cell r="A36">
            <v>2977462</v>
          </cell>
          <cell r="B36" t="str">
            <v>HECTOR ANDRES CIPAMOCHA CENTENO</v>
          </cell>
          <cell r="C36" t="str">
            <v>TECNOLOGO</v>
          </cell>
          <cell r="D36" t="str">
            <v>ANALISIS Y DESARROLLO DE SOFTWARE</v>
          </cell>
          <cell r="E36" t="str">
            <v>14/05/2024</v>
          </cell>
          <cell r="F36">
            <v>32</v>
          </cell>
          <cell r="G36" t="str">
            <v>ELIZABETH GELVES GELVES</v>
          </cell>
          <cell r="H36" t="str">
            <v>DER</v>
          </cell>
        </row>
        <row r="37">
          <cell r="A37">
            <v>2977137</v>
          </cell>
          <cell r="B37" t="str">
            <v>HECTOR ANDRES CIPAMOCHA CENTENO</v>
          </cell>
          <cell r="C37" t="str">
            <v>TECNOLOGO</v>
          </cell>
          <cell r="D37" t="str">
            <v>DESARROLLO MULTIMEDIA Y WEB</v>
          </cell>
          <cell r="E37" t="str">
            <v>14/05/2024</v>
          </cell>
          <cell r="F37">
            <v>20</v>
          </cell>
          <cell r="G37" t="str">
            <v>HELDA MARINA SEPULVEDA VEGA</v>
          </cell>
          <cell r="H37" t="str">
            <v>DER</v>
          </cell>
        </row>
        <row r="38">
          <cell r="A38">
            <v>3070342</v>
          </cell>
          <cell r="B38" t="str">
            <v>HECTOR ANDRES CIPAMOCHA CENTENO</v>
          </cell>
          <cell r="C38" t="str">
            <v>TECNOLOGO</v>
          </cell>
          <cell r="D38" t="str">
            <v>COORDINACION DE PROCESOS LOGISTICOS</v>
          </cell>
          <cell r="E38" t="str">
            <v>16/09/2024</v>
          </cell>
          <cell r="F38">
            <v>36</v>
          </cell>
          <cell r="G38" t="str">
            <v>JAVIER GERARDO VIVAS PRIETO</v>
          </cell>
          <cell r="H38" t="str">
            <v>DER</v>
          </cell>
        </row>
        <row r="39">
          <cell r="A39">
            <v>3186281</v>
          </cell>
          <cell r="B39" t="str">
            <v>LAURA STHEPHANIA SANCHEZ PABON</v>
          </cell>
          <cell r="C39" t="str">
            <v>TECNICO</v>
          </cell>
          <cell r="D39" t="str">
            <v>SERVICIOS COMERCIALES Y FINANCIEROS</v>
          </cell>
          <cell r="E39">
            <v>45747</v>
          </cell>
          <cell r="F39">
            <v>70</v>
          </cell>
          <cell r="G39" t="str">
            <v>LAURA CRISTINA RIAÑO ARIZA</v>
          </cell>
          <cell r="H39" t="str">
            <v>DER</v>
          </cell>
        </row>
        <row r="40">
          <cell r="A40">
            <v>3186282</v>
          </cell>
          <cell r="B40" t="str">
            <v>LAURA STHEPHANIA SANCHEZ PABON</v>
          </cell>
          <cell r="C40" t="str">
            <v>TECNICO</v>
          </cell>
          <cell r="D40" t="str">
            <v>SERVICIOS COMERCIALES Y FINANCIEROS</v>
          </cell>
          <cell r="E40">
            <v>45747</v>
          </cell>
          <cell r="F40">
            <v>68</v>
          </cell>
          <cell r="G40" t="str">
            <v>LAURA CRISTINA RIAÑO ARIZA</v>
          </cell>
          <cell r="H40" t="str">
            <v>DER</v>
          </cell>
        </row>
        <row r="41">
          <cell r="A41">
            <v>3134621</v>
          </cell>
          <cell r="B41" t="str">
            <v>LAURA STHEPHANIA SANCHEZ PABON</v>
          </cell>
          <cell r="C41" t="str">
            <v>TECNOLOGO</v>
          </cell>
          <cell r="D41" t="str">
            <v>ANALISIS Y DESARROLLO DE SOFTWARE</v>
          </cell>
          <cell r="E41" t="str">
            <v>09/12/2024</v>
          </cell>
          <cell r="F41">
            <v>41</v>
          </cell>
          <cell r="G41" t="str">
            <v>ELIZABETH GELVES GELVES</v>
          </cell>
          <cell r="H41" t="str">
            <v>DER</v>
          </cell>
        </row>
        <row r="42">
          <cell r="A42">
            <v>3070341</v>
          </cell>
          <cell r="B42" t="str">
            <v>LAURA STHEPHANIA SANCHEZ PABON</v>
          </cell>
          <cell r="C42" t="str">
            <v>TECNOLOGO</v>
          </cell>
          <cell r="D42" t="str">
            <v>COORDINACION DE PROCESOS LOGISTICOS</v>
          </cell>
          <cell r="E42" t="str">
            <v>16/09/2024</v>
          </cell>
          <cell r="F42">
            <v>38</v>
          </cell>
          <cell r="G42" t="str">
            <v>DANIELA ALEXANDRA MARTINEZ MARTIN</v>
          </cell>
          <cell r="H42" t="str">
            <v>DER</v>
          </cell>
        </row>
        <row r="43">
          <cell r="A43">
            <v>3070316</v>
          </cell>
          <cell r="B43" t="str">
            <v>LAURA STHEPHANIA SANCHEZ PABON</v>
          </cell>
          <cell r="C43" t="str">
            <v>TECNOLOGO</v>
          </cell>
          <cell r="D43" t="str">
            <v>ANALISIS Y DESARROLLO DE SOFTWARE</v>
          </cell>
          <cell r="E43" t="str">
            <v>16/09/2024</v>
          </cell>
          <cell r="F43">
            <v>35</v>
          </cell>
          <cell r="G43" t="str">
            <v>CAMILO ERNESTO PARRA LOPEZ</v>
          </cell>
          <cell r="H43" t="str">
            <v>DER</v>
          </cell>
        </row>
        <row r="44">
          <cell r="A44">
            <v>2977464</v>
          </cell>
          <cell r="B44" t="str">
            <v>LAURA STHEPHANIA SANCHEZ PABON</v>
          </cell>
          <cell r="C44" t="str">
            <v>TECNOLOGO</v>
          </cell>
          <cell r="D44" t="str">
            <v>ANALISIS Y DESARROLLO DE SOFTWARE</v>
          </cell>
          <cell r="E44" t="str">
            <v>14/05/2024</v>
          </cell>
          <cell r="F44">
            <v>25</v>
          </cell>
          <cell r="G44" t="str">
            <v>ELIZABETH GELVES GELVES</v>
          </cell>
          <cell r="H44" t="str">
            <v>DER</v>
          </cell>
        </row>
        <row r="45">
          <cell r="A45">
            <v>3186284</v>
          </cell>
          <cell r="B45" t="str">
            <v>MARIA CAROLINA GOMEZ CALLE</v>
          </cell>
          <cell r="C45" t="str">
            <v>TECNICO</v>
          </cell>
          <cell r="D45" t="str">
            <v>SERVICIOS COMERCIALES Y FINANCIEROS</v>
          </cell>
          <cell r="E45">
            <v>45747</v>
          </cell>
          <cell r="F45">
            <v>70</v>
          </cell>
          <cell r="G45" t="str">
            <v>FRANKELI RODRIGUEZ VELASCO</v>
          </cell>
          <cell r="H45" t="str">
            <v>DER</v>
          </cell>
        </row>
        <row r="46">
          <cell r="A46">
            <v>3186283</v>
          </cell>
          <cell r="B46" t="str">
            <v>MARIA CAROLINA GOMEZ CALLE</v>
          </cell>
          <cell r="C46" t="str">
            <v>TECNICO</v>
          </cell>
          <cell r="D46" t="str">
            <v>SERVICIOS COMERCIALES Y FINANCIEROS</v>
          </cell>
          <cell r="E46">
            <v>45747</v>
          </cell>
          <cell r="F46">
            <v>64</v>
          </cell>
          <cell r="G46" t="str">
            <v>LAURA CRISTINA RIAÑO ARIZA</v>
          </cell>
          <cell r="H46" t="str">
            <v>DER</v>
          </cell>
        </row>
        <row r="47">
          <cell r="A47">
            <v>3070344</v>
          </cell>
          <cell r="B47" t="str">
            <v>MARIA CAROLINA GOMEZ CALLE</v>
          </cell>
          <cell r="C47" t="str">
            <v>TECNOLOGO</v>
          </cell>
          <cell r="D47" t="str">
            <v>COORDINACION DE PROCESOS LOGISTICOS</v>
          </cell>
          <cell r="E47" t="str">
            <v>16/09/2024</v>
          </cell>
          <cell r="F47">
            <v>41</v>
          </cell>
          <cell r="G47" t="str">
            <v>JAVIER GERARDO VIVAS PRIETO</v>
          </cell>
          <cell r="H47" t="str">
            <v>DER</v>
          </cell>
        </row>
        <row r="48">
          <cell r="A48">
            <v>3070315</v>
          </cell>
          <cell r="B48" t="str">
            <v>MARIA CAROLINA GOMEZ CALLE</v>
          </cell>
          <cell r="C48" t="str">
            <v>TECNOLOGO</v>
          </cell>
          <cell r="D48" t="str">
            <v>ANALISIS Y DESARROLLO DE SOFTWARE</v>
          </cell>
          <cell r="E48" t="str">
            <v>16/09/2024</v>
          </cell>
          <cell r="F48">
            <v>39</v>
          </cell>
          <cell r="G48" t="str">
            <v>DAVID EDUARDO LEON</v>
          </cell>
          <cell r="H48" t="str">
            <v>DER</v>
          </cell>
        </row>
        <row r="49">
          <cell r="A49">
            <v>2977136</v>
          </cell>
          <cell r="B49" t="str">
            <v>MARIA CAROLINA GOMEZ CALLE</v>
          </cell>
          <cell r="C49" t="str">
            <v>TECNOLOGO</v>
          </cell>
          <cell r="D49" t="str">
            <v>DESARROLLO MULTIMEDIA Y WEB</v>
          </cell>
          <cell r="E49" t="str">
            <v>14/05/2024</v>
          </cell>
          <cell r="F49">
            <v>26</v>
          </cell>
          <cell r="G49" t="str">
            <v>HELDA MARINA SEPULVEDA VEGA</v>
          </cell>
          <cell r="H49" t="str">
            <v>DER</v>
          </cell>
        </row>
        <row r="50">
          <cell r="A50">
            <v>3134550</v>
          </cell>
          <cell r="B50" t="str">
            <v>MARIA CAROLINA GOMEZ CALLE</v>
          </cell>
          <cell r="C50" t="str">
            <v>TECNOLOGO</v>
          </cell>
          <cell r="D50" t="str">
            <v>ANALISIS Y DESARROLLO DE SOFTWARE</v>
          </cell>
          <cell r="E50" t="str">
            <v>09/12/2024</v>
          </cell>
          <cell r="F50">
            <v>46</v>
          </cell>
          <cell r="G50" t="str">
            <v>ELIZABETH GELVES GELVES</v>
          </cell>
          <cell r="H50" t="str">
            <v>DER</v>
          </cell>
        </row>
        <row r="51">
          <cell r="A51">
            <v>3235913</v>
          </cell>
          <cell r="B51" t="str">
            <v>ALBERTO ANTONIO TAPIA TORRES</v>
          </cell>
          <cell r="C51" t="str">
            <v>TECNOLOGO</v>
          </cell>
          <cell r="D51" t="str">
            <v>ANIMACION 3D</v>
          </cell>
          <cell r="E51">
            <v>45811</v>
          </cell>
          <cell r="F51">
            <v>69</v>
          </cell>
          <cell r="G51" t="str">
            <v>VICTOR QUINTERO VALENCIA</v>
          </cell>
          <cell r="H51" t="str">
            <v>EMP</v>
          </cell>
        </row>
        <row r="52">
          <cell r="A52">
            <v>3186221</v>
          </cell>
          <cell r="B52" t="str">
            <v>ALBERTO ANTONIO TAPIA TORRES</v>
          </cell>
          <cell r="C52" t="str">
            <v>TECNICO</v>
          </cell>
          <cell r="D52" t="str">
            <v>OPERACIONES DE COMERCIO EXTERIOR</v>
          </cell>
          <cell r="E52">
            <v>45747</v>
          </cell>
          <cell r="F52">
            <v>58</v>
          </cell>
          <cell r="G52" t="str">
            <v>DARLING NATHALI GOMEZ OSPINA</v>
          </cell>
          <cell r="H52" t="str">
            <v>EMP</v>
          </cell>
        </row>
        <row r="53">
          <cell r="A53">
            <v>3235892</v>
          </cell>
          <cell r="B53" t="str">
            <v>ALBERTO ANTONIO TAPIA TORRES</v>
          </cell>
          <cell r="C53" t="str">
            <v>TECNOLOGO</v>
          </cell>
          <cell r="D53" t="str">
            <v>ANALISIS Y DESARROLLO DE SOFTWARE</v>
          </cell>
          <cell r="E53">
            <v>45811</v>
          </cell>
          <cell r="F53">
            <v>56</v>
          </cell>
          <cell r="G53" t="str">
            <v>FERNANDO FORERO GOMEZ</v>
          </cell>
          <cell r="H53" t="str">
            <v>EMP</v>
          </cell>
        </row>
        <row r="54">
          <cell r="A54">
            <v>3235896</v>
          </cell>
          <cell r="B54" t="str">
            <v>ALBERTO ANTONIO TAPIA TORRES</v>
          </cell>
          <cell r="C54" t="str">
            <v>TECNOLOGO</v>
          </cell>
          <cell r="D54" t="str">
            <v>ANALISIS Y DESARROLLO DE SOFTWARE</v>
          </cell>
          <cell r="E54">
            <v>45811</v>
          </cell>
          <cell r="F54">
            <v>57</v>
          </cell>
          <cell r="G54" t="str">
            <v>JAIRZINHO CABRERA DAVILA</v>
          </cell>
          <cell r="H54" t="str">
            <v>EMP</v>
          </cell>
        </row>
        <row r="55">
          <cell r="A55">
            <v>3236113</v>
          </cell>
          <cell r="B55" t="str">
            <v>LUIS ARTURO BASTIDAS</v>
          </cell>
          <cell r="C55" t="str">
            <v>TECNICO</v>
          </cell>
          <cell r="D55" t="str">
            <v>SERVICIOS Y OPERACIONES MICROFINANCIERAS</v>
          </cell>
          <cell r="E55">
            <v>45811</v>
          </cell>
          <cell r="F55">
            <v>67</v>
          </cell>
          <cell r="G55" t="str">
            <v>YERSON ALVEIRO DUARTE VELASCO</v>
          </cell>
          <cell r="H55" t="str">
            <v>EMP</v>
          </cell>
        </row>
        <row r="56">
          <cell r="A56">
            <v>3235914</v>
          </cell>
          <cell r="B56" t="str">
            <v>LUIS ARTURO BASTIDAS</v>
          </cell>
          <cell r="C56" t="str">
            <v>TECNOLOGO</v>
          </cell>
          <cell r="D56" t="str">
            <v>ANIMACION 3D</v>
          </cell>
          <cell r="E56">
            <v>45811</v>
          </cell>
          <cell r="F56">
            <v>60</v>
          </cell>
          <cell r="G56" t="str">
            <v>VICTOR QUINTERO VALENCIA</v>
          </cell>
          <cell r="H56" t="str">
            <v>EMP</v>
          </cell>
        </row>
        <row r="57">
          <cell r="A57">
            <v>3235895</v>
          </cell>
          <cell r="B57" t="str">
            <v>LUIS ARTURO BASTIDAS</v>
          </cell>
          <cell r="C57" t="str">
            <v>TECNOLOGO</v>
          </cell>
          <cell r="D57" t="str">
            <v>ANALISIS Y DESARROLLO DE SOFTWARE</v>
          </cell>
          <cell r="E57">
            <v>45811</v>
          </cell>
          <cell r="F57">
            <v>59</v>
          </cell>
          <cell r="G57" t="str">
            <v>JAIRZINHO CABRERA DAVILA</v>
          </cell>
          <cell r="H57" t="str">
            <v>EMP</v>
          </cell>
        </row>
        <row r="58">
          <cell r="A58">
            <v>3186220</v>
          </cell>
          <cell r="B58" t="str">
            <v>ESTEFANIA SANDOVAL CRUZ</v>
          </cell>
          <cell r="C58" t="str">
            <v>TECNICO</v>
          </cell>
          <cell r="D58" t="str">
            <v>OPERACIONES DE COMERCIO EXTERIOR</v>
          </cell>
          <cell r="E58">
            <v>45747</v>
          </cell>
          <cell r="F58">
            <v>65</v>
          </cell>
          <cell r="G58" t="str">
            <v>DARLING NATHALI GOMEZ OSPINA</v>
          </cell>
          <cell r="H58" t="str">
            <v>EMP</v>
          </cell>
        </row>
        <row r="59">
          <cell r="A59">
            <v>3186222</v>
          </cell>
          <cell r="B59" t="str">
            <v>ESTEFANIA SANDOVAL CRUZ</v>
          </cell>
          <cell r="C59" t="str">
            <v>TECNICO</v>
          </cell>
          <cell r="D59" t="str">
            <v>OPERACIONES DE COMERCIO EXTERIOR</v>
          </cell>
          <cell r="E59">
            <v>45747</v>
          </cell>
          <cell r="F59">
            <v>64</v>
          </cell>
          <cell r="G59" t="str">
            <v>DARLING NATHALI GOMEZ OSPINA</v>
          </cell>
          <cell r="H59" t="str">
            <v>EMP</v>
          </cell>
        </row>
        <row r="60">
          <cell r="A60">
            <v>3235893</v>
          </cell>
          <cell r="B60" t="str">
            <v>ESTEFANIA SANDOVAL CRUZ</v>
          </cell>
          <cell r="C60" t="str">
            <v>TECNOLOGO</v>
          </cell>
          <cell r="D60" t="str">
            <v>ANALISIS Y DESARROLLO DE SOFTWARE</v>
          </cell>
          <cell r="E60">
            <v>45811</v>
          </cell>
          <cell r="F60">
            <v>54</v>
          </cell>
          <cell r="G60" t="str">
            <v>JAIRZINHO CABRERA DAVILA</v>
          </cell>
          <cell r="H60" t="str">
            <v>EMP</v>
          </cell>
        </row>
        <row r="61">
          <cell r="A61">
            <v>3235894</v>
          </cell>
          <cell r="B61" t="str">
            <v>ESTEFANIA SANDOVAL CRUZ</v>
          </cell>
          <cell r="C61" t="str">
            <v>TECNOLOGO</v>
          </cell>
          <cell r="D61" t="str">
            <v>ANALISIS Y DESARROLLO DE SOFTWARE</v>
          </cell>
          <cell r="E61">
            <v>45811</v>
          </cell>
          <cell r="F61">
            <v>59</v>
          </cell>
          <cell r="G61" t="str">
            <v>JAIRZINHO CABRERA DAVILA</v>
          </cell>
          <cell r="H61" t="str">
            <v>EMP</v>
          </cell>
        </row>
        <row r="62">
          <cell r="A62">
            <v>3185930</v>
          </cell>
          <cell r="B62" t="str">
            <v>NELSON ALFREDO VARGAS MORA</v>
          </cell>
          <cell r="C62" t="str">
            <v>TECNOLOGO</v>
          </cell>
          <cell r="D62" t="str">
            <v>COORDINACION DE PROCESOS LOGISTICOS</v>
          </cell>
          <cell r="E62">
            <v>45747</v>
          </cell>
          <cell r="F62">
            <v>61</v>
          </cell>
          <cell r="G62" t="str">
            <v>EDGAR HERNANDO SANTANA ORDOÑEZ</v>
          </cell>
          <cell r="H62" t="str">
            <v>ETI</v>
          </cell>
        </row>
        <row r="63">
          <cell r="A63">
            <v>3235889</v>
          </cell>
          <cell r="B63" t="str">
            <v>NELSON ALFREDO VARGAS MORA</v>
          </cell>
          <cell r="C63" t="str">
            <v>TECNOLOGO</v>
          </cell>
          <cell r="D63" t="str">
            <v>ANALISIS Y DESARROLLO DE SOFTWARE</v>
          </cell>
          <cell r="E63">
            <v>45811</v>
          </cell>
          <cell r="F63">
            <v>57</v>
          </cell>
          <cell r="G63" t="str">
            <v>FERNANDO FORERO GOMEZ</v>
          </cell>
          <cell r="H63" t="str">
            <v>ETI</v>
          </cell>
        </row>
        <row r="64">
          <cell r="A64">
            <v>3185929</v>
          </cell>
          <cell r="B64" t="str">
            <v>NELSON ALFREDO VARGAS MORA</v>
          </cell>
          <cell r="C64" t="str">
            <v>TECNOLOGO</v>
          </cell>
          <cell r="D64" t="str">
            <v>COORDINACION DE PROCESOS LOGISTICOS</v>
          </cell>
          <cell r="E64">
            <v>45747</v>
          </cell>
          <cell r="F64">
            <v>53</v>
          </cell>
          <cell r="G64" t="str">
            <v>EDGAR HERNANDO SANTANA ORDOÑEZ</v>
          </cell>
          <cell r="H64" t="str">
            <v>ETI</v>
          </cell>
        </row>
        <row r="65">
          <cell r="A65">
            <v>3070338</v>
          </cell>
          <cell r="B65" t="str">
            <v>NELSON ALFREDO VARGAS MORA</v>
          </cell>
          <cell r="C65" t="str">
            <v>TECNOLOGO</v>
          </cell>
          <cell r="D65" t="str">
            <v>COORDINACION DE PROCESOS LOGISTICOS</v>
          </cell>
          <cell r="E65" t="str">
            <v>16/09/2024</v>
          </cell>
          <cell r="F65">
            <v>34</v>
          </cell>
          <cell r="G65" t="str">
            <v>JAVIER GERARDO VIVAS PRIETO</v>
          </cell>
          <cell r="H65" t="str">
            <v>ETI</v>
          </cell>
        </row>
        <row r="66">
          <cell r="A66">
            <v>3287439</v>
          </cell>
          <cell r="B66" t="str">
            <v>IVAN DARIO RODRIGUEZ BUSTAMANTE</v>
          </cell>
          <cell r="C66" t="str">
            <v>TECNICO</v>
          </cell>
          <cell r="D66" t="str">
            <v>SERVICIOS Y OPERACIONES MICROFINANCIERAS</v>
          </cell>
          <cell r="E66">
            <v>45867</v>
          </cell>
          <cell r="F66">
            <v>66</v>
          </cell>
          <cell r="G66" t="str">
            <v>YERSON ALVEIRO DUARTE VELASCO</v>
          </cell>
          <cell r="H66" t="str">
            <v>ETI</v>
          </cell>
        </row>
        <row r="67">
          <cell r="A67">
            <v>3186630</v>
          </cell>
          <cell r="B67" t="str">
            <v>IVAN DARIO RODRIGUEZ BUSTAMANTE</v>
          </cell>
          <cell r="C67" t="str">
            <v>TECNOLOGO</v>
          </cell>
          <cell r="D67" t="str">
            <v>ANALISIS Y DESARROLLO DE SOFTWARE</v>
          </cell>
          <cell r="E67">
            <v>45747</v>
          </cell>
          <cell r="F67">
            <v>59</v>
          </cell>
          <cell r="G67" t="str">
            <v>DAVID EDUARDO LEON</v>
          </cell>
          <cell r="H67" t="str">
            <v>ETI</v>
          </cell>
        </row>
        <row r="68">
          <cell r="A68">
            <v>3235890</v>
          </cell>
          <cell r="B68" t="str">
            <v>IVAN DARIO RODRIGUEZ BUSTAMANTE</v>
          </cell>
          <cell r="C68" t="str">
            <v>TECNOLOGO</v>
          </cell>
          <cell r="D68" t="str">
            <v>ANALISIS Y DESARROLLO DE SOFTWARE</v>
          </cell>
          <cell r="E68">
            <v>45811</v>
          </cell>
          <cell r="F68">
            <v>59</v>
          </cell>
          <cell r="G68" t="str">
            <v>FERNANDO FORERO GOMEZ</v>
          </cell>
          <cell r="H68" t="str">
            <v>ETI</v>
          </cell>
        </row>
        <row r="69">
          <cell r="A69">
            <v>3185928</v>
          </cell>
          <cell r="B69" t="str">
            <v>IVAN DARIO RODRIGUEZ BUSTAMANTE</v>
          </cell>
          <cell r="C69" t="str">
            <v>TECNOLOGO</v>
          </cell>
          <cell r="D69" t="str">
            <v>COORDINACION DE PROCESOS LOGISTICOS</v>
          </cell>
          <cell r="E69">
            <v>45747</v>
          </cell>
          <cell r="F69">
            <v>66</v>
          </cell>
          <cell r="G69" t="str">
            <v>EDGAR HERNANDO SANTANA ORDOÑEZ</v>
          </cell>
          <cell r="H69" t="str">
            <v>ETI</v>
          </cell>
        </row>
        <row r="70">
          <cell r="A70">
            <v>3186631</v>
          </cell>
          <cell r="B70" t="str">
            <v>OLGA STELLA PARDO SARAY</v>
          </cell>
          <cell r="C70" t="str">
            <v>TECNOLOGO</v>
          </cell>
          <cell r="D70" t="str">
            <v>ANALISIS Y DESARROLLO DE SOFTWARE</v>
          </cell>
          <cell r="E70">
            <v>45747</v>
          </cell>
          <cell r="F70">
            <v>63</v>
          </cell>
          <cell r="G70" t="str">
            <v>DAVID EDUARDO LEON</v>
          </cell>
          <cell r="H70" t="str">
            <v>ETI</v>
          </cell>
        </row>
        <row r="71">
          <cell r="A71">
            <v>3185927</v>
          </cell>
          <cell r="B71" t="str">
            <v>OLGA STELLA PARDO SARAY</v>
          </cell>
          <cell r="C71" t="str">
            <v>TECNOLOGO</v>
          </cell>
          <cell r="D71" t="str">
            <v>COORDINACION DE PROCESOS LOGISTICOS</v>
          </cell>
          <cell r="E71">
            <v>45747</v>
          </cell>
          <cell r="F71">
            <v>62</v>
          </cell>
          <cell r="G71" t="str">
            <v>JESUS RENE BUITRAGO PEDRAZA</v>
          </cell>
          <cell r="H71" t="str">
            <v>ETI</v>
          </cell>
        </row>
        <row r="72">
          <cell r="A72">
            <v>3235891</v>
          </cell>
          <cell r="B72" t="str">
            <v>OLGA STELLA PARDO SARAY</v>
          </cell>
          <cell r="C72" t="str">
            <v>TECNOLOGO</v>
          </cell>
          <cell r="D72" t="str">
            <v>ANALISIS Y DESARROLLO DE SOFTWARE</v>
          </cell>
          <cell r="E72">
            <v>45811</v>
          </cell>
          <cell r="F72">
            <v>59</v>
          </cell>
          <cell r="G72" t="str">
            <v>FERNANDO FORERO GOMEZ</v>
          </cell>
          <cell r="H72" t="str">
            <v>ETI</v>
          </cell>
        </row>
        <row r="73">
          <cell r="A73">
            <v>2977228</v>
          </cell>
          <cell r="B73" t="str">
            <v>CAMILO ERNESTO CALDERON GALINDO</v>
          </cell>
          <cell r="C73" t="str">
            <v>TECNOLOGO</v>
          </cell>
          <cell r="D73" t="str">
            <v>DESARROLLO DE MEDIOS GRAFICOS VISUALES</v>
          </cell>
          <cell r="E73" t="str">
            <v>14/05/2024</v>
          </cell>
          <cell r="F73">
            <v>38</v>
          </cell>
          <cell r="G73" t="str">
            <v>LEYDY NAHIR FONSECA CARDENAS</v>
          </cell>
          <cell r="H73" t="str">
            <v>FIS</v>
          </cell>
        </row>
        <row r="74">
          <cell r="A74">
            <v>2977460</v>
          </cell>
          <cell r="B74" t="str">
            <v>CAMILO ERNESTO CALDERON GALINDO</v>
          </cell>
          <cell r="C74" t="str">
            <v>TECNOLOGO</v>
          </cell>
          <cell r="D74" t="str">
            <v>ANALISIS Y DESARROLLO DE SOFTWARE</v>
          </cell>
          <cell r="E74" t="str">
            <v>14/05/2024</v>
          </cell>
          <cell r="F74">
            <v>37</v>
          </cell>
          <cell r="G74" t="str">
            <v>ANA MILENA MOSQUERA SEVILLA</v>
          </cell>
          <cell r="H74" t="str">
            <v>FIS</v>
          </cell>
        </row>
        <row r="75">
          <cell r="A75">
            <v>3070319</v>
          </cell>
          <cell r="B75" t="str">
            <v>CAMILO ERNESTO CALDERON GALINDO</v>
          </cell>
          <cell r="C75" t="str">
            <v>TECNOLOGO</v>
          </cell>
          <cell r="D75" t="str">
            <v>ANALISIS Y DESARROLLO DE SOFTWARE</v>
          </cell>
          <cell r="E75" t="str">
            <v>16/09/2024</v>
          </cell>
          <cell r="F75">
            <v>36</v>
          </cell>
          <cell r="G75" t="str">
            <v>CAMILO ERNESTO PARRA LOPEZ</v>
          </cell>
          <cell r="H75" t="str">
            <v>FIS</v>
          </cell>
        </row>
        <row r="76">
          <cell r="A76">
            <v>3070320</v>
          </cell>
          <cell r="B76" t="str">
            <v>CAMILO ERNESTO CALDERON GALINDO</v>
          </cell>
          <cell r="C76" t="str">
            <v>TECNOLOGO</v>
          </cell>
          <cell r="D76" t="str">
            <v>ANALISIS Y DESARROLLO DE SOFTWARE</v>
          </cell>
          <cell r="E76" t="str">
            <v>16/09/2024</v>
          </cell>
          <cell r="F76">
            <v>36</v>
          </cell>
          <cell r="G76" t="str">
            <v>CAMILO ERNESTO PARRA LOPEZ</v>
          </cell>
          <cell r="H76" t="str">
            <v>FIS</v>
          </cell>
        </row>
        <row r="77">
          <cell r="A77">
            <v>2977229</v>
          </cell>
          <cell r="B77" t="str">
            <v>CAMILO ERNESTO CALDERON GALINDO</v>
          </cell>
          <cell r="C77" t="str">
            <v>TECNOLOGO</v>
          </cell>
          <cell r="D77" t="str">
            <v>DESARROLLO DE MEDIOS GRAFICOS VISUALES</v>
          </cell>
          <cell r="E77" t="str">
            <v>14/05/2024</v>
          </cell>
          <cell r="F77">
            <v>32</v>
          </cell>
          <cell r="G77" t="str">
            <v>LEYDY NAHIR FONSECA CARDENAS</v>
          </cell>
          <cell r="H77" t="str">
            <v>FIS</v>
          </cell>
        </row>
        <row r="78">
          <cell r="A78">
            <v>3070321</v>
          </cell>
          <cell r="B78" t="str">
            <v>CAMILO ERNESTO CALDERON GALINDO</v>
          </cell>
          <cell r="C78" t="str">
            <v>TECNOLOGO</v>
          </cell>
          <cell r="D78" t="str">
            <v>ANALISIS Y DESARROLLO DE SOFTWARE</v>
          </cell>
          <cell r="E78" t="str">
            <v>16/09/2024</v>
          </cell>
          <cell r="F78">
            <v>32</v>
          </cell>
          <cell r="G78" t="str">
            <v>CAMILO ERNESTO PARRA LOPEZ</v>
          </cell>
          <cell r="H78" t="str">
            <v>FIS</v>
          </cell>
        </row>
        <row r="79">
          <cell r="A79">
            <v>2977463</v>
          </cell>
          <cell r="B79" t="str">
            <v>CAMILO ERNESTO CALDERON GALINDO</v>
          </cell>
          <cell r="C79" t="str">
            <v>TECNOLOGO</v>
          </cell>
          <cell r="D79" t="str">
            <v>ANALISIS Y DESARROLLO DE SOFTWARE</v>
          </cell>
          <cell r="E79" t="str">
            <v>14/05/2024</v>
          </cell>
          <cell r="F79">
            <v>30</v>
          </cell>
          <cell r="G79" t="str">
            <v>ELIZABETH GELVES GELVES</v>
          </cell>
          <cell r="H79" t="str">
            <v>FIS</v>
          </cell>
        </row>
        <row r="80">
          <cell r="A80">
            <v>2977230</v>
          </cell>
          <cell r="B80" t="str">
            <v>CAMILO ERNESTO CALDERON GALINDO</v>
          </cell>
          <cell r="C80" t="str">
            <v>TECNOLOGO</v>
          </cell>
          <cell r="D80" t="str">
            <v>DESARROLLO DE MEDIOS GRAFICOS VISUALES</v>
          </cell>
          <cell r="E80" t="str">
            <v>14/05/2024</v>
          </cell>
          <cell r="F80">
            <v>25</v>
          </cell>
          <cell r="G80" t="str">
            <v>LEYDY NAHIR FONSECA CARDENAS</v>
          </cell>
          <cell r="H80" t="str">
            <v>FIS</v>
          </cell>
        </row>
        <row r="81">
          <cell r="A81">
            <v>3070322</v>
          </cell>
          <cell r="B81" t="str">
            <v>CAMILO ERNESTO CALDERON GALINDO</v>
          </cell>
          <cell r="C81" t="str">
            <v>TECNOLOGO</v>
          </cell>
          <cell r="D81" t="str">
            <v>ANALISIS Y DESARROLLO DE SOFTWARE</v>
          </cell>
          <cell r="E81" t="str">
            <v>16/09/2024</v>
          </cell>
          <cell r="F81">
            <v>39</v>
          </cell>
          <cell r="G81" t="str">
            <v>FRANCISCO ARNALDO VARGAS BERMUDEZ</v>
          </cell>
          <cell r="H81" t="str">
            <v>FIS</v>
          </cell>
        </row>
        <row r="82">
          <cell r="A82">
            <v>3070343</v>
          </cell>
          <cell r="B82" t="str">
            <v>CINDY YOHANA BOHORQUEZ GARZON</v>
          </cell>
          <cell r="C82" t="str">
            <v>TECNOLOGO</v>
          </cell>
          <cell r="D82" t="str">
            <v>COORDINACION DE PROCESOS LOGISTICOS</v>
          </cell>
          <cell r="E82" t="str">
            <v>16/09/2024</v>
          </cell>
          <cell r="F82">
            <v>40</v>
          </cell>
          <cell r="G82" t="str">
            <v>JAVIER GERARDO VIVAS PRIETO</v>
          </cell>
          <cell r="H82" t="str">
            <v>INV</v>
          </cell>
        </row>
        <row r="83">
          <cell r="A83">
            <v>3070361</v>
          </cell>
          <cell r="B83" t="str">
            <v>CINDY YOHANA BOHORQUEZ GARZON</v>
          </cell>
          <cell r="C83" t="str">
            <v>TECNOLOGO</v>
          </cell>
          <cell r="D83" t="str">
            <v>DESARROLLO PUBLICITARIO</v>
          </cell>
          <cell r="E83" t="str">
            <v>16/09/2024</v>
          </cell>
          <cell r="F83">
            <v>36</v>
          </cell>
          <cell r="G83" t="str">
            <v>LUCY PAOLA REYES CARDENAS</v>
          </cell>
          <cell r="H83" t="str">
            <v>INV</v>
          </cell>
        </row>
        <row r="84">
          <cell r="A84">
            <v>3070364</v>
          </cell>
          <cell r="B84" t="str">
            <v>CINDY YOHANA BOHORQUEZ GARZON</v>
          </cell>
          <cell r="C84" t="str">
            <v>TECNOLOGO</v>
          </cell>
          <cell r="D84" t="str">
            <v>DESARROLLO PUBLICITARIO</v>
          </cell>
          <cell r="E84" t="str">
            <v>16/09/2024</v>
          </cell>
          <cell r="F84">
            <v>36</v>
          </cell>
          <cell r="G84" t="str">
            <v>LUCY PAOLA REYES CARDENAS</v>
          </cell>
          <cell r="H84" t="str">
            <v>INV</v>
          </cell>
        </row>
        <row r="85">
          <cell r="A85">
            <v>3070362</v>
          </cell>
          <cell r="B85" t="str">
            <v>CINDY YOHANA BOHORQUEZ GARZON</v>
          </cell>
          <cell r="C85" t="str">
            <v>TECNOLOGO</v>
          </cell>
          <cell r="D85" t="str">
            <v>DESARROLLO PUBLICITARIO</v>
          </cell>
          <cell r="E85" t="str">
            <v>16/09/2024</v>
          </cell>
          <cell r="F85">
            <v>33</v>
          </cell>
          <cell r="G85" t="str">
            <v>LUCY PAOLA REYES CARDENAS</v>
          </cell>
          <cell r="H85" t="str">
            <v>INV</v>
          </cell>
        </row>
        <row r="86">
          <cell r="A86">
            <v>3070360</v>
          </cell>
          <cell r="B86" t="str">
            <v>CINDY YOHANA BOHORQUEZ GARZON</v>
          </cell>
          <cell r="C86" t="str">
            <v>TECNOLOGO</v>
          </cell>
          <cell r="D86" t="str">
            <v>DESARROLLO PUBLICITARIO</v>
          </cell>
          <cell r="E86" t="str">
            <v>16/09/2024</v>
          </cell>
          <cell r="F86">
            <v>32</v>
          </cell>
          <cell r="G86" t="str">
            <v>LUCY PAOLA REYES CARDENAS</v>
          </cell>
          <cell r="H86" t="str">
            <v>INV</v>
          </cell>
        </row>
        <row r="87">
          <cell r="A87">
            <v>3070363</v>
          </cell>
          <cell r="B87" t="str">
            <v>CINDY YOHANA BOHORQUEZ GARZON</v>
          </cell>
          <cell r="C87" t="str">
            <v>TECNOLOGO</v>
          </cell>
          <cell r="D87" t="str">
            <v>DESARROLLO PUBLICITARIO</v>
          </cell>
          <cell r="E87" t="str">
            <v>16/09/2024</v>
          </cell>
          <cell r="F87">
            <v>32</v>
          </cell>
          <cell r="G87" t="str">
            <v>LUCY PAOLA REYES CARDENAS</v>
          </cell>
          <cell r="H87" t="str">
            <v>INV</v>
          </cell>
        </row>
        <row r="88">
          <cell r="A88">
            <v>3070358</v>
          </cell>
          <cell r="B88" t="str">
            <v>CINDY YOHANA BOHORQUEZ GARZON</v>
          </cell>
          <cell r="C88" t="str">
            <v>TECNOLOGO</v>
          </cell>
          <cell r="D88" t="str">
            <v>DESARROLLO PUBLICITARIO</v>
          </cell>
          <cell r="E88" t="str">
            <v>16/09/2024</v>
          </cell>
          <cell r="F88">
            <v>29</v>
          </cell>
          <cell r="G88" t="str">
            <v>LUCY PAOLA REYES CARDENAS</v>
          </cell>
          <cell r="H88" t="str">
            <v>INV</v>
          </cell>
        </row>
        <row r="89">
          <cell r="A89">
            <v>3134623</v>
          </cell>
          <cell r="B89" t="str">
            <v>CINDY YOHANA BOHORQUEZ GARZON</v>
          </cell>
          <cell r="C89" t="str">
            <v>TECNOLOGO</v>
          </cell>
          <cell r="D89" t="str">
            <v>ANALISIS Y DESARROLLO DE SOFTWARE</v>
          </cell>
          <cell r="E89" t="str">
            <v>09/12/2024</v>
          </cell>
          <cell r="F89">
            <v>41</v>
          </cell>
          <cell r="G89" t="str">
            <v>ELIZABETH GELVES GELVES</v>
          </cell>
          <cell r="H89" t="str">
            <v>INV</v>
          </cell>
        </row>
        <row r="90">
          <cell r="A90">
            <v>3185933</v>
          </cell>
          <cell r="B90" t="str">
            <v>ELKIN DURAN MANCIPE</v>
          </cell>
          <cell r="C90" t="str">
            <v>TECNOLOGO</v>
          </cell>
          <cell r="D90" t="str">
            <v>COORDINACION DE PROCESOS LOGISTICOS</v>
          </cell>
          <cell r="E90">
            <v>45747</v>
          </cell>
          <cell r="F90">
            <v>61</v>
          </cell>
          <cell r="G90" t="str">
            <v>LAURA MARCELA BORRERO RAMIREZ</v>
          </cell>
          <cell r="H90" t="str">
            <v>MAT</v>
          </cell>
        </row>
        <row r="91">
          <cell r="A91">
            <v>3118374</v>
          </cell>
          <cell r="B91" t="str">
            <v>ELKIN DURAN MANCIPE</v>
          </cell>
          <cell r="C91" t="str">
            <v>TECNOLOGO</v>
          </cell>
          <cell r="D91" t="str">
            <v>COORDINACION DE PROCESOS LOGISTICOS</v>
          </cell>
          <cell r="E91" t="str">
            <v>18/11/2024</v>
          </cell>
          <cell r="F91">
            <v>45</v>
          </cell>
          <cell r="G91" t="str">
            <v>GRACIELA MARTINEZ JIMENEZ</v>
          </cell>
          <cell r="H91" t="str">
            <v>MAT</v>
          </cell>
        </row>
        <row r="92">
          <cell r="A92">
            <v>3118406</v>
          </cell>
          <cell r="B92" t="str">
            <v>ELKIN DURAN MANCIPE</v>
          </cell>
          <cell r="C92" t="str">
            <v>TECNOLOGO</v>
          </cell>
          <cell r="D92" t="str">
            <v>DESARROLLO DE MEDIOS GRAFICOS VISUALES</v>
          </cell>
          <cell r="E92" t="str">
            <v>18/11/2024</v>
          </cell>
          <cell r="F92">
            <v>45</v>
          </cell>
          <cell r="G92" t="str">
            <v>WANDA POSADA PAZ</v>
          </cell>
          <cell r="H92" t="str">
            <v>MAT</v>
          </cell>
        </row>
        <row r="93">
          <cell r="A93">
            <v>3118505</v>
          </cell>
          <cell r="B93" t="str">
            <v>ELKIN DURAN MANCIPE</v>
          </cell>
          <cell r="C93" t="str">
            <v>TECNOLOGO</v>
          </cell>
          <cell r="D93" t="str">
            <v>COORDINACION DE PROCESOS LOGISTICOS</v>
          </cell>
          <cell r="E93" t="str">
            <v>18/11/2024</v>
          </cell>
          <cell r="F93">
            <v>44</v>
          </cell>
          <cell r="G93" t="str">
            <v>OSCAR EDUARDO SARMIENTO SAAVEDRA</v>
          </cell>
          <cell r="H93" t="str">
            <v>MAT</v>
          </cell>
        </row>
        <row r="94">
          <cell r="A94">
            <v>3118504</v>
          </cell>
          <cell r="B94" t="str">
            <v>ELKIN DURAN MANCIPE</v>
          </cell>
          <cell r="C94" t="str">
            <v>TECNOLOGO</v>
          </cell>
          <cell r="D94" t="str">
            <v>COORDINACION DE PROCESOS LOGISTICOS</v>
          </cell>
          <cell r="E94" t="str">
            <v>18/11/2024</v>
          </cell>
          <cell r="F94">
            <v>42</v>
          </cell>
          <cell r="G94" t="str">
            <v>DANIELA ALEXANDRA MARTINEZ MARTIN</v>
          </cell>
          <cell r="H94" t="str">
            <v>MAT</v>
          </cell>
        </row>
        <row r="95">
          <cell r="A95">
            <v>3134586</v>
          </cell>
          <cell r="B95" t="str">
            <v>ELKIN DURAN MANCIPE</v>
          </cell>
          <cell r="C95" t="str">
            <v>TECNOLOGO</v>
          </cell>
          <cell r="D95" t="str">
            <v>DESARROLLO DE MEDIOS GRAFICOS VISUALES</v>
          </cell>
          <cell r="E95" t="str">
            <v>09/12/2024</v>
          </cell>
          <cell r="F95">
            <v>39</v>
          </cell>
          <cell r="G95" t="str">
            <v>GUSTAVO ADOLFO MORALES CAMARGO</v>
          </cell>
          <cell r="H95" t="str">
            <v>MAT</v>
          </cell>
        </row>
        <row r="96">
          <cell r="A96">
            <v>3185935</v>
          </cell>
          <cell r="B96" t="str">
            <v>JULIANA HERNANDEZ BARRERA</v>
          </cell>
          <cell r="C96" t="str">
            <v>TECNOLOGO</v>
          </cell>
          <cell r="D96" t="str">
            <v>COORDINACION DE PROCESOS LOGISTICOS</v>
          </cell>
          <cell r="E96">
            <v>45747</v>
          </cell>
          <cell r="F96">
            <v>52</v>
          </cell>
          <cell r="G96" t="str">
            <v>LAURA MARCELA BORRERO RAMIREZ</v>
          </cell>
          <cell r="H96" t="str">
            <v>MAT</v>
          </cell>
        </row>
        <row r="97">
          <cell r="A97">
            <v>3118503</v>
          </cell>
          <cell r="B97" t="str">
            <v>JULIANA HERNANDEZ BARRERA</v>
          </cell>
          <cell r="C97" t="str">
            <v>TECNOLOGO</v>
          </cell>
          <cell r="D97" t="str">
            <v>COORDINACION DE PROCESOS LOGISTICOS</v>
          </cell>
          <cell r="E97" t="str">
            <v>18/11/2024</v>
          </cell>
          <cell r="F97">
            <v>45</v>
          </cell>
          <cell r="G97" t="str">
            <v>DANIELA ALEXANDRA MARTINEZ MARTIN</v>
          </cell>
          <cell r="H97" t="str">
            <v>MAT</v>
          </cell>
        </row>
        <row r="98">
          <cell r="A98">
            <v>2977748</v>
          </cell>
          <cell r="B98" t="str">
            <v>JULIANA HERNANDEZ BARRERA</v>
          </cell>
          <cell r="C98" t="str">
            <v>TECNOLOGO</v>
          </cell>
          <cell r="D98" t="str">
            <v>COORDINACION DE PROCESOS LOGISTICOS</v>
          </cell>
          <cell r="E98" t="str">
            <v>14/05/2024</v>
          </cell>
          <cell r="F98">
            <v>42</v>
          </cell>
          <cell r="G98" t="str">
            <v>JOSE ALFONSO SOTO SILVERA</v>
          </cell>
          <cell r="H98" t="str">
            <v>MAT</v>
          </cell>
        </row>
        <row r="99">
          <cell r="A99">
            <v>3118500</v>
          </cell>
          <cell r="B99" t="str">
            <v>JULIANA HERNANDEZ BARRERA</v>
          </cell>
          <cell r="C99" t="str">
            <v>TECNOLOGO</v>
          </cell>
          <cell r="D99" t="str">
            <v>COORDINACION DE PROCESOS LOGISTICOS</v>
          </cell>
          <cell r="E99" t="str">
            <v>18/11/2024</v>
          </cell>
          <cell r="F99">
            <v>40</v>
          </cell>
          <cell r="G99" t="str">
            <v>GRACIELA MARTINEZ JIMENEZ</v>
          </cell>
          <cell r="H99" t="str">
            <v>MAT</v>
          </cell>
        </row>
        <row r="100">
          <cell r="A100">
            <v>2977751</v>
          </cell>
          <cell r="B100" t="str">
            <v>JULIANA HERNANDEZ BARRERA</v>
          </cell>
          <cell r="C100" t="str">
            <v>TECNOLOGO</v>
          </cell>
          <cell r="D100" t="str">
            <v>COORDINACION DE PROCESOS LOGISTICOS</v>
          </cell>
          <cell r="E100" t="str">
            <v>14/05/2024</v>
          </cell>
          <cell r="F100">
            <v>33</v>
          </cell>
          <cell r="G100" t="str">
            <v>LAURA VIVIANA MONTERO</v>
          </cell>
          <cell r="H100" t="str">
            <v>MAT</v>
          </cell>
        </row>
        <row r="101">
          <cell r="A101">
            <v>2977753</v>
          </cell>
          <cell r="B101" t="str">
            <v>JULIANA HERNANDEZ BARRERA</v>
          </cell>
          <cell r="C101" t="str">
            <v>TECNOLOGO</v>
          </cell>
          <cell r="D101" t="str">
            <v>COORDINACION DE PROCESOS LOGISTICOS</v>
          </cell>
          <cell r="E101" t="str">
            <v>14/05/2024</v>
          </cell>
          <cell r="F101">
            <v>30</v>
          </cell>
          <cell r="G101" t="str">
            <v>LAURA VIVIANA MONTERO</v>
          </cell>
          <cell r="H101" t="str">
            <v>MAT</v>
          </cell>
        </row>
        <row r="102">
          <cell r="A102">
            <v>3118501</v>
          </cell>
          <cell r="B102" t="str">
            <v>JULIANA HERNANDEZ BARRERA</v>
          </cell>
          <cell r="C102" t="str">
            <v>TECNOLOGO</v>
          </cell>
          <cell r="D102" t="str">
            <v>COORDINACION DE PROCESOS LOGISTICOS</v>
          </cell>
          <cell r="E102" t="str">
            <v>18/11/2024</v>
          </cell>
          <cell r="F102">
            <v>39</v>
          </cell>
          <cell r="G102" t="str">
            <v>GRACIELA MARTINEZ JIMENEZ</v>
          </cell>
          <cell r="H102" t="str">
            <v>MAT</v>
          </cell>
        </row>
        <row r="103">
          <cell r="A103">
            <v>3185932</v>
          </cell>
          <cell r="B103" t="str">
            <v>WILDER JULIAN ARIAS HERNANDEZ</v>
          </cell>
          <cell r="C103" t="str">
            <v>TECNOLOGO</v>
          </cell>
          <cell r="D103" t="str">
            <v>COORDINACION DE PROCESOS LOGISTICOS</v>
          </cell>
          <cell r="E103">
            <v>45747</v>
          </cell>
          <cell r="F103">
            <v>60</v>
          </cell>
          <cell r="G103" t="str">
            <v>LAURA MARCELA BORRERO RAMIREZ</v>
          </cell>
          <cell r="H103" t="str">
            <v>MAT</v>
          </cell>
        </row>
        <row r="104">
          <cell r="A104">
            <v>3185934</v>
          </cell>
          <cell r="B104" t="str">
            <v>WILDER JULIAN ARIAS HERNANDEZ</v>
          </cell>
          <cell r="C104" t="str">
            <v>TECNOLOGO</v>
          </cell>
          <cell r="D104" t="str">
            <v>COORDINACION DE PROCESOS LOGISTICOS</v>
          </cell>
          <cell r="E104">
            <v>45747</v>
          </cell>
          <cell r="F104">
            <v>47</v>
          </cell>
          <cell r="G104" t="str">
            <v>LAURA MARCELA BORRERO RAMIREZ</v>
          </cell>
          <cell r="H104" t="str">
            <v>MAT</v>
          </cell>
        </row>
        <row r="105">
          <cell r="A105">
            <v>3118502</v>
          </cell>
          <cell r="B105" t="str">
            <v>WILDER JULIAN ARIAS HERNANDEZ</v>
          </cell>
          <cell r="C105" t="str">
            <v>TECNOLOGO</v>
          </cell>
          <cell r="D105" t="str">
            <v>COORDINACION DE PROCESOS LOGISTICOS</v>
          </cell>
          <cell r="E105" t="str">
            <v>18/11/2024</v>
          </cell>
          <cell r="F105">
            <v>45</v>
          </cell>
          <cell r="G105" t="str">
            <v>DANIELA ALEXANDRA MARTINEZ MARTIN</v>
          </cell>
          <cell r="H105" t="str">
            <v>MAT</v>
          </cell>
        </row>
        <row r="106">
          <cell r="A106">
            <v>3134618</v>
          </cell>
          <cell r="B106" t="str">
            <v>WILDER JULIAN ARIAS HERNANDEZ</v>
          </cell>
          <cell r="C106" t="str">
            <v>TECNOLOGO</v>
          </cell>
          <cell r="D106" t="str">
            <v>DESARROLLO DE MEDIOS GRAFICOS VISUALES</v>
          </cell>
          <cell r="E106" t="str">
            <v>09/12/2024</v>
          </cell>
          <cell r="F106">
            <v>44</v>
          </cell>
          <cell r="G106" t="str">
            <v>GUSTAVO ADOLFO MORALES CAMARGO</v>
          </cell>
          <cell r="H106" t="str">
            <v>MAT</v>
          </cell>
        </row>
        <row r="107">
          <cell r="A107">
            <v>3118492</v>
          </cell>
          <cell r="B107" t="str">
            <v>WILDER JULIAN ARIAS HERNANDEZ</v>
          </cell>
          <cell r="C107" t="str">
            <v>TECNOLOGO</v>
          </cell>
          <cell r="D107" t="str">
            <v>ANALISIS Y DESARROLLO DE SOFTWARE</v>
          </cell>
          <cell r="E107" t="str">
            <v>18/11/2024</v>
          </cell>
          <cell r="F107">
            <v>40</v>
          </cell>
          <cell r="G107" t="str">
            <v>ANDRES RUBIANO CUCARIAN</v>
          </cell>
          <cell r="H107" t="str">
            <v>MAT</v>
          </cell>
        </row>
        <row r="108">
          <cell r="A108">
            <v>3185931</v>
          </cell>
          <cell r="B108" t="str">
            <v>WILDER JULIAN ARIAS HERNANDEZ</v>
          </cell>
          <cell r="C108" t="str">
            <v>TECNOLOGO</v>
          </cell>
          <cell r="D108" t="str">
            <v>COORDINACION DE PROCESOS LOGISTICOS</v>
          </cell>
          <cell r="E108">
            <v>45747</v>
          </cell>
          <cell r="F108">
            <v>60</v>
          </cell>
          <cell r="G108" t="str">
            <v>EDGAR HERNANDO SANTANA ORDOÑEZ</v>
          </cell>
          <cell r="H108" t="str">
            <v>MAT</v>
          </cell>
        </row>
        <row r="109">
          <cell r="A109">
            <v>3167877</v>
          </cell>
          <cell r="B109" t="str">
            <v>JORGE IVAN PEREZ GAITAN</v>
          </cell>
          <cell r="C109" t="str">
            <v>TECNICO</v>
          </cell>
          <cell r="D109" t="str">
            <v>ASESORIA COMERCIAL</v>
          </cell>
          <cell r="E109">
            <v>45748</v>
          </cell>
          <cell r="F109">
            <v>56</v>
          </cell>
          <cell r="G109" t="str">
            <v>LUZ MERY ROZO GUTIERREZ</v>
          </cell>
          <cell r="H109" t="str">
            <v>SST</v>
          </cell>
        </row>
        <row r="110">
          <cell r="A110">
            <v>2977742</v>
          </cell>
          <cell r="B110" t="str">
            <v>JORGE IVAN PEREZ GAITAN</v>
          </cell>
          <cell r="C110" t="str">
            <v>TECNOLOGO</v>
          </cell>
          <cell r="D110" t="str">
            <v>COORDINACION DE PROCESOS LOGISTICOS</v>
          </cell>
          <cell r="E110" t="str">
            <v>14/05/2024</v>
          </cell>
          <cell r="F110">
            <v>39</v>
          </cell>
          <cell r="G110" t="str">
            <v>JUAN CAMILO BOHORQUEZ RODRIGUEZ</v>
          </cell>
          <cell r="H110" t="str">
            <v>SST</v>
          </cell>
        </row>
        <row r="111">
          <cell r="A111">
            <v>3070337</v>
          </cell>
          <cell r="B111" t="str">
            <v>JORGE IVAN PEREZ GAITAN</v>
          </cell>
          <cell r="C111" t="str">
            <v>TECNOLOGO</v>
          </cell>
          <cell r="D111" t="str">
            <v>COORDINACION DE PROCESOS LOGISTICOS</v>
          </cell>
          <cell r="E111" t="str">
            <v>16/09/2024</v>
          </cell>
          <cell r="F111">
            <v>38</v>
          </cell>
          <cell r="G111" t="str">
            <v>OSCAR EDUARDO SARMIENTO SAAVEDRA</v>
          </cell>
          <cell r="H111" t="str">
            <v>SST</v>
          </cell>
        </row>
        <row r="112">
          <cell r="A112">
            <v>3070325</v>
          </cell>
          <cell r="B112" t="str">
            <v>JORGE IVAN PEREZ GAITAN</v>
          </cell>
          <cell r="C112" t="str">
            <v>TECNOLOGO</v>
          </cell>
          <cell r="D112" t="str">
            <v>ANALISIS Y DESARROLLO DE SOFTWARE</v>
          </cell>
          <cell r="E112" t="str">
            <v>16/09/2024</v>
          </cell>
          <cell r="F112">
            <v>34</v>
          </cell>
          <cell r="G112" t="str">
            <v>FRANCISCO ARNALDO VARGAS BERMUDEZ</v>
          </cell>
          <cell r="H112" t="str">
            <v>SST</v>
          </cell>
        </row>
        <row r="113">
          <cell r="A113">
            <v>3070334</v>
          </cell>
          <cell r="B113" t="str">
            <v>JORGE IVAN PEREZ GAITAN</v>
          </cell>
          <cell r="C113" t="str">
            <v>TECNOLOGO</v>
          </cell>
          <cell r="D113" t="str">
            <v>COORDINACION DE PROCESOS LOGISTICOS</v>
          </cell>
          <cell r="E113" t="str">
            <v>16/09/2024</v>
          </cell>
          <cell r="F113">
            <v>33</v>
          </cell>
          <cell r="G113" t="str">
            <v>OSCAR EDUARDO SARMIENTO SAAVEDRA</v>
          </cell>
          <cell r="H113" t="str">
            <v>SST</v>
          </cell>
        </row>
        <row r="114">
          <cell r="A114">
            <v>3236103</v>
          </cell>
          <cell r="B114" t="str">
            <v>DEISY JULIETH GARCIA CASTAÑEDA</v>
          </cell>
          <cell r="C114" t="str">
            <v>TECNICO</v>
          </cell>
          <cell r="D114" t="str">
            <v>SERVICIOS COMERCIALES Y FINANCIEROS</v>
          </cell>
          <cell r="E114">
            <v>45811</v>
          </cell>
          <cell r="F114">
            <v>68</v>
          </cell>
          <cell r="G114" t="str">
            <v>MOISES EDGARDO MERIÑO POLO</v>
          </cell>
          <cell r="H114" t="str">
            <v>SST</v>
          </cell>
        </row>
        <row r="115">
          <cell r="A115">
            <v>3167876</v>
          </cell>
          <cell r="B115" t="str">
            <v>DEISY JULIETH GARCIA CASTAÑEDA</v>
          </cell>
          <cell r="C115" t="str">
            <v>TECNICO</v>
          </cell>
          <cell r="D115" t="str">
            <v>ASESORIA COMERCIAL</v>
          </cell>
          <cell r="E115">
            <v>45748</v>
          </cell>
          <cell r="F115">
            <v>42</v>
          </cell>
          <cell r="G115" t="str">
            <v>LUZ MERY ROZO GUTIERREZ</v>
          </cell>
          <cell r="H115" t="str">
            <v>SST</v>
          </cell>
        </row>
        <row r="116">
          <cell r="A116">
            <v>3070335</v>
          </cell>
          <cell r="B116" t="str">
            <v>DEISY JULIETH GARCIA CASTAÑEDA</v>
          </cell>
          <cell r="C116" t="str">
            <v>TECNOLOGO</v>
          </cell>
          <cell r="D116" t="str">
            <v>COORDINACION DE PROCESOS LOGISTICOS</v>
          </cell>
          <cell r="E116" t="str">
            <v>16/09/2024</v>
          </cell>
          <cell r="F116">
            <v>35</v>
          </cell>
          <cell r="G116" t="str">
            <v>OSCAR EDUARDO SARMIENTO SAAVEDRA</v>
          </cell>
          <cell r="H116" t="str">
            <v>SST</v>
          </cell>
        </row>
        <row r="117">
          <cell r="A117">
            <v>2977135</v>
          </cell>
          <cell r="B117" t="str">
            <v>DEISY JULIETH GARCIA CASTAÑEDA</v>
          </cell>
          <cell r="C117" t="str">
            <v>TECNOLOGO</v>
          </cell>
          <cell r="D117" t="str">
            <v>DESARROLLO MULTIMEDIA Y WEB</v>
          </cell>
          <cell r="E117" t="str">
            <v>14/05/2024</v>
          </cell>
          <cell r="F117">
            <v>20</v>
          </cell>
          <cell r="G117" t="str">
            <v>HELDA MARINA SEPULVEDA VEGA</v>
          </cell>
          <cell r="H117" t="str">
            <v>SST</v>
          </cell>
        </row>
        <row r="118">
          <cell r="A118">
            <v>3167875</v>
          </cell>
          <cell r="B118" t="str">
            <v>DEISY JULIETH GARCIA CASTAÑEDA</v>
          </cell>
          <cell r="C118" t="str">
            <v>TECNICO</v>
          </cell>
          <cell r="D118" t="str">
            <v>ASESORIA COMERCIAL</v>
          </cell>
          <cell r="E118">
            <v>45748</v>
          </cell>
          <cell r="F118">
            <v>51</v>
          </cell>
          <cell r="G118" t="str">
            <v>LUZ MERY ROZO GUTIERREZ</v>
          </cell>
          <cell r="H118" t="str">
            <v>SST</v>
          </cell>
        </row>
        <row r="119">
          <cell r="A119">
            <v>3186008</v>
          </cell>
          <cell r="B119" t="str">
            <v>MARINELLA DIAZ ACOSTA</v>
          </cell>
          <cell r="C119" t="str">
            <v>TECNOLOGO</v>
          </cell>
          <cell r="D119" t="str">
            <v>DESARROLLO DE MEDIOS GRAFICOS VISUALES</v>
          </cell>
          <cell r="E119">
            <v>45747</v>
          </cell>
          <cell r="F119">
            <v>60</v>
          </cell>
          <cell r="G119" t="str">
            <v>JOHN JAIRO LEON MEZA</v>
          </cell>
          <cell r="H119" t="str">
            <v>SST</v>
          </cell>
        </row>
        <row r="120">
          <cell r="A120">
            <v>3070326</v>
          </cell>
          <cell r="B120" t="str">
            <v>MARINELLA DIAZ ACOSTA</v>
          </cell>
          <cell r="C120" t="str">
            <v>TECNOLOGO</v>
          </cell>
          <cell r="D120" t="str">
            <v>ANALISIS Y DESARROLLO DE SOFTWARE</v>
          </cell>
          <cell r="E120" t="str">
            <v>16/09/2024</v>
          </cell>
          <cell r="F120">
            <v>36</v>
          </cell>
          <cell r="G120" t="str">
            <v>FRANCISCO ARNALDO VARGAS BERMUDEZ</v>
          </cell>
          <cell r="H120" t="str">
            <v>SST</v>
          </cell>
        </row>
        <row r="121">
          <cell r="A121">
            <v>3070324</v>
          </cell>
          <cell r="B121" t="str">
            <v>MARINELLA DIAZ ACOSTA</v>
          </cell>
          <cell r="C121" t="str">
            <v>TECNOLOGO</v>
          </cell>
          <cell r="D121" t="str">
            <v>ANALISIS Y DESARROLLO DE SOFTWARE</v>
          </cell>
          <cell r="E121" t="str">
            <v>16/09/2024</v>
          </cell>
          <cell r="F121">
            <v>35</v>
          </cell>
          <cell r="G121" t="str">
            <v>FRANCISCO ARNALDO VARGAS BERMUDEZ</v>
          </cell>
          <cell r="H121" t="str">
            <v>SST</v>
          </cell>
        </row>
        <row r="122">
          <cell r="A122">
            <v>3070336</v>
          </cell>
          <cell r="B122" t="str">
            <v>MARINELLA DIAZ ACOSTA</v>
          </cell>
          <cell r="C122" t="str">
            <v>TECNOLOGO</v>
          </cell>
          <cell r="D122" t="str">
            <v>COORDINACION DE PROCESOS LOGISTICOS</v>
          </cell>
          <cell r="E122" t="str">
            <v>16/09/2024</v>
          </cell>
          <cell r="F122">
            <v>34</v>
          </cell>
          <cell r="G122" t="str">
            <v>OSCAR EDUARDO SARMIENTO SAAVEDRA</v>
          </cell>
          <cell r="H122" t="str">
            <v>SST</v>
          </cell>
        </row>
        <row r="123">
          <cell r="A123">
            <v>3070323</v>
          </cell>
          <cell r="B123" t="str">
            <v>MARINELLA DIAZ ACOSTA</v>
          </cell>
          <cell r="C123" t="str">
            <v>TECNOLOGO</v>
          </cell>
          <cell r="D123" t="str">
            <v>ANALISIS Y DESARROLLO DE SOFTWARE</v>
          </cell>
          <cell r="E123" t="str">
            <v>16/09/2024</v>
          </cell>
          <cell r="F123">
            <v>38</v>
          </cell>
          <cell r="G123" t="str">
            <v>FRANCISCO ARNALDO VARGAS BERMUDEZ</v>
          </cell>
          <cell r="H123" t="str">
            <v>SST</v>
          </cell>
        </row>
        <row r="124">
          <cell r="A124">
            <v>3186304</v>
          </cell>
          <cell r="B124" t="str">
            <v>ANGELICA JANETH RODRIGUEZ ALONSO</v>
          </cell>
          <cell r="C124" t="str">
            <v>TECNICO</v>
          </cell>
          <cell r="D124" t="str">
            <v>SERVICIOS Y OPERACIONES MICROFINANCIERAS</v>
          </cell>
          <cell r="E124">
            <v>45747</v>
          </cell>
          <cell r="F124">
            <v>73</v>
          </cell>
          <cell r="G124" t="str">
            <v>YERSON ALVEIRO DUARTE VELASCO</v>
          </cell>
          <cell r="H124" t="str">
            <v>TIC</v>
          </cell>
        </row>
        <row r="125">
          <cell r="A125">
            <v>3186303</v>
          </cell>
          <cell r="B125" t="str">
            <v>ANGELICA JANETH RODRIGUEZ ALONSO</v>
          </cell>
          <cell r="C125" t="str">
            <v>TECNICO</v>
          </cell>
          <cell r="D125" t="str">
            <v>SERVICIOS Y OPERACIONES MICROFINANCIERAS</v>
          </cell>
          <cell r="E125">
            <v>45747</v>
          </cell>
          <cell r="F125">
            <v>57</v>
          </cell>
          <cell r="G125" t="str">
            <v>YERSON ALVEIRO DUARTE VELASCO</v>
          </cell>
          <cell r="H125" t="str">
            <v>TIC</v>
          </cell>
        </row>
        <row r="126">
          <cell r="A126">
            <v>3118506</v>
          </cell>
          <cell r="B126" t="str">
            <v>ANGELICA JANETH RODRIGUEZ ALONSO</v>
          </cell>
          <cell r="C126" t="str">
            <v>TECNOLOGO</v>
          </cell>
          <cell r="D126" t="str">
            <v>COORDINACION DE PROCESOS LOGISTICOS</v>
          </cell>
          <cell r="E126" t="str">
            <v>18/11/2024</v>
          </cell>
          <cell r="F126">
            <v>45</v>
          </cell>
          <cell r="G126" t="str">
            <v>OSCAR EDUARDO SARMIENTO SAAVEDRA</v>
          </cell>
          <cell r="H126" t="str">
            <v>TIC</v>
          </cell>
        </row>
        <row r="127">
          <cell r="A127">
            <v>2977138</v>
          </cell>
          <cell r="B127" t="str">
            <v>ANGELICA JANETH RODRIGUEZ ALONSO</v>
          </cell>
          <cell r="C127" t="str">
            <v>TECNOLOGO</v>
          </cell>
          <cell r="D127" t="str">
            <v>DESARROLLO MULTIMEDIA Y WEB</v>
          </cell>
          <cell r="E127" t="str">
            <v>14/05/2024</v>
          </cell>
          <cell r="F127">
            <v>25</v>
          </cell>
          <cell r="G127" t="str">
            <v>HELDA MARINA SEPULVEDA VEGA</v>
          </cell>
          <cell r="H127" t="str">
            <v>TIC</v>
          </cell>
        </row>
        <row r="128">
          <cell r="A128">
            <v>3235974</v>
          </cell>
          <cell r="B128" t="str">
            <v>CRISTINA CASTAÑO CASTILLO</v>
          </cell>
          <cell r="C128" t="str">
            <v>TECNOLOGO</v>
          </cell>
          <cell r="D128" t="str">
            <v>COORDINACION DE PROCESOS LOGISTICOS</v>
          </cell>
          <cell r="E128">
            <v>45811</v>
          </cell>
          <cell r="F128">
            <v>73</v>
          </cell>
          <cell r="G128" t="str">
            <v>CLAUDIA ROCIO VACCA GARCIA</v>
          </cell>
          <cell r="H128" t="str">
            <v>TIC</v>
          </cell>
        </row>
        <row r="129">
          <cell r="A129">
            <v>3186305</v>
          </cell>
          <cell r="B129" t="str">
            <v>CRISTINA CASTAÑO CASTILLO</v>
          </cell>
          <cell r="C129" t="str">
            <v>TECNICO</v>
          </cell>
          <cell r="D129" t="str">
            <v>SERVICIOS Y OPERACIONES MICROFINANCIERAS</v>
          </cell>
          <cell r="E129">
            <v>45747</v>
          </cell>
          <cell r="F129">
            <v>52</v>
          </cell>
          <cell r="G129" t="str">
            <v>YERSON ALVEIRO DUARTE VELASCO</v>
          </cell>
          <cell r="H129" t="str">
            <v>TIC</v>
          </cell>
        </row>
        <row r="130">
          <cell r="A130">
            <v>3236113</v>
          </cell>
          <cell r="B130" t="str">
            <v>CRISTINA CASTAÑO CASTILLO</v>
          </cell>
          <cell r="C130" t="str">
            <v>TECNICO</v>
          </cell>
          <cell r="D130" t="str">
            <v>SERVICIOS Y OPERACIONES MICROFINANCIERAS</v>
          </cell>
          <cell r="E130">
            <v>45811</v>
          </cell>
          <cell r="F130">
            <v>67</v>
          </cell>
          <cell r="G130" t="str">
            <v>YERSON ALVEIRO DUARTE VELASCO</v>
          </cell>
          <cell r="H130" t="str">
            <v>TIC</v>
          </cell>
        </row>
        <row r="131">
          <cell r="A131">
            <v>3235975</v>
          </cell>
          <cell r="B131" t="str">
            <v>ERICK RUIZ NOREÑA</v>
          </cell>
          <cell r="C131" t="str">
            <v>TECNOLOGO</v>
          </cell>
          <cell r="D131" t="str">
            <v>COORDINACION DE PROCESOS LOGISTICOS</v>
          </cell>
          <cell r="E131">
            <v>45811</v>
          </cell>
          <cell r="F131">
            <v>71</v>
          </cell>
          <cell r="G131" t="str">
            <v>CLAUDIA ROCIO VACCA GARCIA</v>
          </cell>
          <cell r="H131" t="str">
            <v>TIC</v>
          </cell>
        </row>
        <row r="132">
          <cell r="A132">
            <v>3235912</v>
          </cell>
          <cell r="B132" t="str">
            <v>ERICK RUIZ NOREÑA</v>
          </cell>
          <cell r="C132" t="str">
            <v>TECNOLOGO</v>
          </cell>
          <cell r="D132" t="str">
            <v>ANIMACION 3D</v>
          </cell>
          <cell r="E132">
            <v>45811</v>
          </cell>
          <cell r="F132">
            <v>61</v>
          </cell>
          <cell r="G132" t="str">
            <v>VICTOR QUINTERO VALENCIA</v>
          </cell>
          <cell r="H132" t="str">
            <v>TIC</v>
          </cell>
        </row>
        <row r="133">
          <cell r="A133">
            <v>3118507</v>
          </cell>
          <cell r="B133" t="str">
            <v>ERICK RUIZ NOREÑA</v>
          </cell>
          <cell r="C133" t="str">
            <v>TECNOLOGO</v>
          </cell>
          <cell r="D133" t="str">
            <v>COORDINACION DE PROCESOS LOGISTICOS</v>
          </cell>
          <cell r="E133" t="str">
            <v>18/11/2024</v>
          </cell>
          <cell r="F133">
            <v>45</v>
          </cell>
          <cell r="G133" t="str">
            <v>OSCAR EDUARDO SARMIENTO SAAVEDRA</v>
          </cell>
          <cell r="H133" t="str">
            <v>TIC</v>
          </cell>
        </row>
        <row r="134">
          <cell r="A134">
            <v>3287439</v>
          </cell>
          <cell r="B134" t="str">
            <v>SONIA PATRICIA CASTAÑEDA CAYCEDO</v>
          </cell>
          <cell r="C134" t="str">
            <v>TECNICO</v>
          </cell>
          <cell r="D134" t="str">
            <v>SERVICIOS Y OPERACIONES MICROFINANCIERAS</v>
          </cell>
          <cell r="E134">
            <v>45867</v>
          </cell>
          <cell r="F134">
            <v>66</v>
          </cell>
          <cell r="G134" t="str">
            <v>YERSON ALVEIRO DUARTE VELASCO</v>
          </cell>
          <cell r="H134" t="str">
            <v>TIC</v>
          </cell>
        </row>
        <row r="135">
          <cell r="A135">
            <v>2977744</v>
          </cell>
          <cell r="B135" t="str">
            <v>SONIA PATRICIA CASTAÑEDA CAYCEDO</v>
          </cell>
          <cell r="C135" t="str">
            <v>TECNOLOGO</v>
          </cell>
          <cell r="D135" t="str">
            <v>COORDINACION DE PROCESOS LOGISTICOS</v>
          </cell>
          <cell r="E135" t="str">
            <v>14/05/2024</v>
          </cell>
          <cell r="F135">
            <v>36</v>
          </cell>
          <cell r="G135" t="str">
            <v>JUAN CAMILO BOHORQUEZ RODRIGUEZ</v>
          </cell>
          <cell r="H135" t="str">
            <v>TIC</v>
          </cell>
        </row>
        <row r="136">
          <cell r="A136">
            <v>2977743</v>
          </cell>
          <cell r="B136" t="str">
            <v>SONIA PATRICIA CASTAÑEDA CAYCEDO</v>
          </cell>
          <cell r="C136" t="str">
            <v>TECNOLOGO</v>
          </cell>
          <cell r="D136" t="str">
            <v>COORDINACION DE PROCESOS LOGISTICOS</v>
          </cell>
          <cell r="E136" t="str">
            <v>14/05/2024</v>
          </cell>
          <cell r="F136">
            <v>33</v>
          </cell>
          <cell r="G136" t="str">
            <v>JUAN CAMILO BOHORQUEZ RODRIGUEZ</v>
          </cell>
          <cell r="H136" t="str">
            <v>TIC</v>
          </cell>
        </row>
        <row r="137">
          <cell r="A137">
            <v>3236532</v>
          </cell>
          <cell r="B137" t="str">
            <v>SONIA PATRICIA CASTAÑEDA CAYCEDO</v>
          </cell>
          <cell r="C137" t="str">
            <v>TECNOLOGO</v>
          </cell>
          <cell r="D137" t="str">
            <v>DESARROLLO MULTIMEDIA Y WEB</v>
          </cell>
          <cell r="E137">
            <v>45811</v>
          </cell>
          <cell r="F137">
            <v>51</v>
          </cell>
          <cell r="G137" t="str">
            <v>HELDA MARINA SEPULVEDA VEGA</v>
          </cell>
          <cell r="H137" t="str">
            <v>TIC</v>
          </cell>
        </row>
      </sheetData>
      <sheetData sheetId="11" refreshError="1">
        <row r="1">
          <cell r="A1" t="str">
            <v>NFICHA</v>
          </cell>
          <cell r="B1" t="str">
            <v>NOMBRE</v>
          </cell>
          <cell r="C1" t="str">
            <v>NIVEL</v>
          </cell>
          <cell r="D1" t="str">
            <v>PROGRAMA</v>
          </cell>
          <cell r="E1" t="str">
            <v>FECHA_INICIO</v>
          </cell>
          <cell r="F1" t="str">
            <v>APRENDICES</v>
          </cell>
          <cell r="G1" t="str">
            <v>INS_TECNICO</v>
          </cell>
          <cell r="H1" t="str">
            <v>COMPETENCIA</v>
          </cell>
        </row>
        <row r="2">
          <cell r="A2">
            <v>3118503</v>
          </cell>
          <cell r="B2" t="str">
            <v>LAURA SOFIA PAEZ GALLO</v>
          </cell>
          <cell r="C2" t="str">
            <v>TECNOLOGO</v>
          </cell>
          <cell r="D2" t="str">
            <v>COORDINACION DE PROCESOS LOGISTICOS</v>
          </cell>
          <cell r="E2" t="str">
            <v>18/11/2024</v>
          </cell>
          <cell r="F2">
            <v>45</v>
          </cell>
          <cell r="G2" t="str">
            <v>DANIELA ALEXANDRA MARTINEZ MARTIN</v>
          </cell>
          <cell r="H2" t="str">
            <v>CIE</v>
          </cell>
        </row>
        <row r="3">
          <cell r="A3">
            <v>3118502</v>
          </cell>
          <cell r="B3" t="str">
            <v>LAURA SOFIA PAEZ GALLO</v>
          </cell>
          <cell r="C3" t="str">
            <v>TECNOLOGO</v>
          </cell>
          <cell r="D3" t="str">
            <v>COORDINACION DE PROCESOS LOGISTICOS</v>
          </cell>
          <cell r="E3" t="str">
            <v>18/11/2024</v>
          </cell>
          <cell r="F3">
            <v>44</v>
          </cell>
          <cell r="G3" t="str">
            <v>DANIELA ALEXANDRA MARTINEZ MARTIN</v>
          </cell>
          <cell r="H3" t="str">
            <v>CIE</v>
          </cell>
        </row>
        <row r="4">
          <cell r="A4">
            <v>3118505</v>
          </cell>
          <cell r="B4" t="str">
            <v>LAURA SOFIA PAEZ GALLO</v>
          </cell>
          <cell r="C4" t="str">
            <v>TECNOLOGO</v>
          </cell>
          <cell r="D4" t="str">
            <v>COORDINACION DE PROCESOS LOGISTICOS</v>
          </cell>
          <cell r="E4" t="str">
            <v>18/11/2024</v>
          </cell>
          <cell r="F4">
            <v>44</v>
          </cell>
          <cell r="G4" t="str">
            <v>JESUS RENE BUITRAGO PEDRAZA</v>
          </cell>
          <cell r="H4" t="str">
            <v>CIE</v>
          </cell>
        </row>
        <row r="5">
          <cell r="A5">
            <v>3118504</v>
          </cell>
          <cell r="B5" t="str">
            <v>LAURA SOFIA PAEZ GALLO</v>
          </cell>
          <cell r="C5" t="str">
            <v>TECNOLOGO</v>
          </cell>
          <cell r="D5" t="str">
            <v>COORDINACION DE PROCESOS LOGISTICOS</v>
          </cell>
          <cell r="E5" t="str">
            <v>18/11/2024</v>
          </cell>
          <cell r="F5">
            <v>40</v>
          </cell>
          <cell r="G5" t="str">
            <v>DANIELA ALEXANDRA MARTINEZ MARTIN</v>
          </cell>
          <cell r="H5" t="str">
            <v>CIE</v>
          </cell>
        </row>
        <row r="6">
          <cell r="A6">
            <v>3336264</v>
          </cell>
          <cell r="B6" t="str">
            <v>LAURA SOFIA PAEZ GALLO</v>
          </cell>
          <cell r="C6" t="str">
            <v>TECNOLOGO</v>
          </cell>
          <cell r="D6" t="str">
            <v>ANIMACION 3D</v>
          </cell>
          <cell r="E6" t="str">
            <v>28/09/2025</v>
          </cell>
          <cell r="F6">
            <v>40</v>
          </cell>
          <cell r="G6" t="str">
            <v>VICTOR QUINTERO VALENCIA</v>
          </cell>
          <cell r="H6" t="str">
            <v>CIE</v>
          </cell>
        </row>
        <row r="7">
          <cell r="A7">
            <v>3235975</v>
          </cell>
          <cell r="B7" t="str">
            <v>LAURA SOFIA PAEZ GALLO</v>
          </cell>
          <cell r="C7" t="str">
            <v>TECNOLOGO</v>
          </cell>
          <cell r="D7" t="str">
            <v>COORDINACION DE PROCESOS LOGISTICOS</v>
          </cell>
          <cell r="E7" t="str">
            <v>03/06/2025</v>
          </cell>
          <cell r="F7">
            <v>71</v>
          </cell>
          <cell r="G7" t="str">
            <v>CLAUDIA ROCIO VACCA GARCIA</v>
          </cell>
          <cell r="H7" t="str">
            <v>CIE</v>
          </cell>
        </row>
        <row r="8">
          <cell r="A8">
            <v>3186281</v>
          </cell>
          <cell r="B8" t="str">
            <v>CESAR AUGUSTO BERMEO</v>
          </cell>
          <cell r="C8" t="str">
            <v>TECNICO</v>
          </cell>
          <cell r="D8" t="str">
            <v>SERVICIOS COMERCIALES Y FINANCIEROS</v>
          </cell>
          <cell r="E8" t="str">
            <v>31/03/2025</v>
          </cell>
          <cell r="F8">
            <v>70</v>
          </cell>
          <cell r="G8" t="str">
            <v>LAURA CRISTINA RIAÑO ARIZA</v>
          </cell>
          <cell r="H8" t="str">
            <v>COM</v>
          </cell>
        </row>
        <row r="9">
          <cell r="A9">
            <v>3186282</v>
          </cell>
          <cell r="B9" t="str">
            <v>CESAR AUGUSTO BERMEO</v>
          </cell>
          <cell r="C9" t="str">
            <v>TECNICO</v>
          </cell>
          <cell r="D9" t="str">
            <v>SERVICIOS COMERCIALES Y FINANCIEROS</v>
          </cell>
          <cell r="E9" t="str">
            <v>31/03/2025</v>
          </cell>
          <cell r="F9">
            <v>68</v>
          </cell>
          <cell r="G9" t="str">
            <v>LAURA CRISTINA RIAÑO ARIZA</v>
          </cell>
          <cell r="H9" t="str">
            <v>COM</v>
          </cell>
        </row>
        <row r="10">
          <cell r="A10">
            <v>2977747</v>
          </cell>
          <cell r="B10" t="str">
            <v>CESAR AUGUSTO BERMEO</v>
          </cell>
          <cell r="C10" t="str">
            <v>TECNOLOGO</v>
          </cell>
          <cell r="D10" t="str">
            <v>COORDINACION DE PROCESOS LOGISTICOS</v>
          </cell>
          <cell r="E10" t="str">
            <v>14/05/2024</v>
          </cell>
          <cell r="F10">
            <v>40</v>
          </cell>
          <cell r="G10" t="str">
            <v>JOSE ALFONSO SOTO SILVERA</v>
          </cell>
          <cell r="H10" t="str">
            <v>COM</v>
          </cell>
        </row>
        <row r="11">
          <cell r="A11">
            <v>3070296</v>
          </cell>
          <cell r="B11" t="str">
            <v>CESAR AUGUSTO BERMEO</v>
          </cell>
          <cell r="C11" t="str">
            <v>TECNOLOGO</v>
          </cell>
          <cell r="D11" t="str">
            <v>ANALISIS Y DESARROLLO DE SOFTWARE</v>
          </cell>
          <cell r="E11" t="str">
            <v>16/09/2024</v>
          </cell>
          <cell r="F11">
            <v>39</v>
          </cell>
          <cell r="G11" t="str">
            <v>DAVID EDUARDO LEON</v>
          </cell>
          <cell r="H11" t="str">
            <v>COM</v>
          </cell>
        </row>
        <row r="12">
          <cell r="A12">
            <v>3070318</v>
          </cell>
          <cell r="B12" t="str">
            <v>CESAR AUGUSTO BERMEO</v>
          </cell>
          <cell r="C12" t="str">
            <v>TECNOLOGO</v>
          </cell>
          <cell r="D12" t="str">
            <v>ANALISIS Y DESARROLLO DE SOFTWARE</v>
          </cell>
          <cell r="E12" t="str">
            <v>16/09/2024</v>
          </cell>
          <cell r="F12">
            <v>36</v>
          </cell>
          <cell r="G12" t="str">
            <v>CAMILO ERNESTO PARRA LOPEZ</v>
          </cell>
          <cell r="H12" t="str">
            <v>COM</v>
          </cell>
        </row>
        <row r="13">
          <cell r="A13">
            <v>2977460</v>
          </cell>
          <cell r="B13" t="str">
            <v>CESAR AUGUSTO BERMEO</v>
          </cell>
          <cell r="C13" t="str">
            <v>TECNOLOGO</v>
          </cell>
          <cell r="D13" t="str">
            <v>ANALISIS Y DESARROLLO DE SOFTWARE</v>
          </cell>
          <cell r="E13" t="str">
            <v>14/05/2024</v>
          </cell>
          <cell r="F13">
            <v>37</v>
          </cell>
          <cell r="G13" t="str">
            <v>ANA MILENA MOSQUERA SEVILLA</v>
          </cell>
          <cell r="H13" t="str">
            <v>COM</v>
          </cell>
        </row>
        <row r="14">
          <cell r="A14">
            <v>3186284</v>
          </cell>
          <cell r="B14" t="str">
            <v>JORGE ARMANDO PIEDRAHITA</v>
          </cell>
          <cell r="C14" t="str">
            <v>TECNICO</v>
          </cell>
          <cell r="D14" t="str">
            <v>SERVICIOS COMERCIALES Y FINANCIEROS</v>
          </cell>
          <cell r="E14" t="str">
            <v>31/03/2025</v>
          </cell>
          <cell r="F14">
            <v>70</v>
          </cell>
          <cell r="G14" t="str">
            <v>FRANKELI RODRIGUEZ VELASCO</v>
          </cell>
          <cell r="H14" t="str">
            <v>COM</v>
          </cell>
        </row>
        <row r="15">
          <cell r="A15">
            <v>3287439</v>
          </cell>
          <cell r="B15" t="str">
            <v>JORGE ARMANDO PIEDRAHITA</v>
          </cell>
          <cell r="C15" t="str">
            <v>TECNICO</v>
          </cell>
          <cell r="D15" t="str">
            <v>SERVICIOS Y OPERACIONES MICROFINANCIERAS</v>
          </cell>
          <cell r="E15" t="str">
            <v>29/07/2025</v>
          </cell>
          <cell r="F15">
            <v>66</v>
          </cell>
          <cell r="G15" t="str">
            <v>YERSON ALVEIRO DUARTE VELASCO</v>
          </cell>
          <cell r="H15" t="str">
            <v>COM</v>
          </cell>
        </row>
        <row r="16">
          <cell r="A16">
            <v>3186283</v>
          </cell>
          <cell r="B16" t="str">
            <v>JORGE ARMANDO PIEDRAHITA</v>
          </cell>
          <cell r="C16" t="str">
            <v>TECNICO</v>
          </cell>
          <cell r="D16" t="str">
            <v>SERVICIOS COMERCIALES Y FINANCIEROS</v>
          </cell>
          <cell r="E16" t="str">
            <v>31/03/2025</v>
          </cell>
          <cell r="F16">
            <v>64</v>
          </cell>
          <cell r="G16" t="str">
            <v>LAURA CRISTINA RIAÑO ARIZA</v>
          </cell>
          <cell r="H16" t="str">
            <v>COM</v>
          </cell>
        </row>
        <row r="17">
          <cell r="A17">
            <v>3070313</v>
          </cell>
          <cell r="B17" t="str">
            <v>JORGE ARMANDO PIEDRAHITA</v>
          </cell>
          <cell r="C17" t="str">
            <v>TECNOLOGO</v>
          </cell>
          <cell r="D17" t="str">
            <v>ANALISIS Y DESARROLLO DE SOFTWARE</v>
          </cell>
          <cell r="E17" t="str">
            <v>16/09/2024</v>
          </cell>
          <cell r="F17">
            <v>33</v>
          </cell>
          <cell r="G17" t="str">
            <v>DAVID EDUARDO LEON</v>
          </cell>
          <cell r="H17" t="str">
            <v>COM</v>
          </cell>
        </row>
        <row r="18">
          <cell r="A18">
            <v>2977457</v>
          </cell>
          <cell r="B18" t="str">
            <v>JORGE ARMANDO PIEDRAHITA</v>
          </cell>
          <cell r="C18" t="str">
            <v>TECNOLOGO</v>
          </cell>
          <cell r="D18" t="str">
            <v>ANALISIS Y DESARROLLO DE SOFTWARE</v>
          </cell>
          <cell r="E18" t="str">
            <v>14/05/2024</v>
          </cell>
          <cell r="F18">
            <v>27</v>
          </cell>
          <cell r="G18" t="str">
            <v>EDUER PABON MORALES</v>
          </cell>
          <cell r="H18" t="str">
            <v>COM</v>
          </cell>
        </row>
        <row r="19">
          <cell r="A19">
            <v>2977463</v>
          </cell>
          <cell r="B19" t="str">
            <v>JORGE ARMANDO PIEDRAHITA</v>
          </cell>
          <cell r="C19" t="str">
            <v>TECNOLOGO</v>
          </cell>
          <cell r="D19" t="str">
            <v>ANALISIS Y DESARROLLO DE SOFTWARE</v>
          </cell>
          <cell r="E19" t="str">
            <v>14/05/2024</v>
          </cell>
          <cell r="F19">
            <v>29</v>
          </cell>
          <cell r="G19" t="str">
            <v>ELIZABETH GELVES GELVES</v>
          </cell>
          <cell r="H19" t="str">
            <v>COM</v>
          </cell>
        </row>
        <row r="20">
          <cell r="A20">
            <v>3235894</v>
          </cell>
          <cell r="B20" t="str">
            <v>CHRISTIAN CAMILO RODRIGUEZ SALAS</v>
          </cell>
          <cell r="C20" t="str">
            <v>TECNOLOGO</v>
          </cell>
          <cell r="D20" t="str">
            <v>ANALISIS Y DESARROLLO DE SOFTWARE</v>
          </cell>
          <cell r="E20" t="str">
            <v>03/06/2025</v>
          </cell>
          <cell r="F20">
            <v>59</v>
          </cell>
          <cell r="G20" t="str">
            <v>JAIRZINHO CABRERA DAVILA</v>
          </cell>
          <cell r="H20" t="str">
            <v>CUL</v>
          </cell>
        </row>
        <row r="21">
          <cell r="A21">
            <v>3235889</v>
          </cell>
          <cell r="B21" t="str">
            <v>CHRISTIAN CAMILO RODRIGUEZ SALAS</v>
          </cell>
          <cell r="C21" t="str">
            <v>TECNOLOGO</v>
          </cell>
          <cell r="D21" t="str">
            <v>ANALISIS Y DESARROLLO DE SOFTWARE</v>
          </cell>
          <cell r="E21" t="str">
            <v>03/06/2025</v>
          </cell>
          <cell r="F21">
            <v>57</v>
          </cell>
          <cell r="G21" t="str">
            <v>FERNANDO FORERO GOMEZ</v>
          </cell>
          <cell r="H21" t="str">
            <v>CUL</v>
          </cell>
        </row>
        <row r="22">
          <cell r="A22">
            <v>3235893</v>
          </cell>
          <cell r="B22" t="str">
            <v>CHRISTIAN CAMILO RODRIGUEZ SALAS</v>
          </cell>
          <cell r="C22" t="str">
            <v>TECNOLOGO</v>
          </cell>
          <cell r="D22" t="str">
            <v>ANALISIS Y DESARROLLO DE SOFTWARE</v>
          </cell>
          <cell r="E22" t="str">
            <v>03/06/2025</v>
          </cell>
          <cell r="F22">
            <v>54</v>
          </cell>
          <cell r="G22" t="str">
            <v>JAIRZINHO CABRERA DAVILA</v>
          </cell>
          <cell r="H22" t="str">
            <v>CUL</v>
          </cell>
        </row>
        <row r="23">
          <cell r="A23">
            <v>3070326</v>
          </cell>
          <cell r="B23" t="str">
            <v>CHRISTIAN CAMILO RODRIGUEZ SALAS</v>
          </cell>
          <cell r="C23" t="str">
            <v>TECNOLOGO</v>
          </cell>
          <cell r="D23" t="str">
            <v>ANALISIS Y DESARROLLO DE SOFTWARE</v>
          </cell>
          <cell r="E23" t="str">
            <v>16/09/2024</v>
          </cell>
          <cell r="F23">
            <v>36</v>
          </cell>
          <cell r="G23" t="str">
            <v>FRANCISCO ARNALDO VARGAS BERMUDEZ</v>
          </cell>
          <cell r="H23" t="str">
            <v>CUL</v>
          </cell>
        </row>
        <row r="24">
          <cell r="A24">
            <v>3070325</v>
          </cell>
          <cell r="B24" t="str">
            <v>CHRISTIAN CAMILO RODRIGUEZ SALAS</v>
          </cell>
          <cell r="C24" t="str">
            <v>TECNOLOGO</v>
          </cell>
          <cell r="D24" t="str">
            <v>ANALISIS Y DESARROLLO DE SOFTWARE</v>
          </cell>
          <cell r="E24" t="str">
            <v>16/09/2024</v>
          </cell>
          <cell r="F24">
            <v>34</v>
          </cell>
          <cell r="G24" t="str">
            <v>FRANCISCO ARNALDO VARGAS BERMUDEZ</v>
          </cell>
          <cell r="H24" t="str">
            <v>CUL</v>
          </cell>
        </row>
        <row r="25">
          <cell r="A25">
            <v>3118492</v>
          </cell>
          <cell r="B25" t="str">
            <v>CHRISTIAN CAMILO RODRIGUEZ SALAS</v>
          </cell>
          <cell r="C25" t="str">
            <v>TECNOLOGO</v>
          </cell>
          <cell r="D25" t="str">
            <v>ANALISIS Y DESARROLLO DE SOFTWARE</v>
          </cell>
          <cell r="E25" t="str">
            <v>18/11/2024</v>
          </cell>
          <cell r="F25">
            <v>40</v>
          </cell>
          <cell r="G25" t="str">
            <v>ANDRES RUBIANO CUCARIAN</v>
          </cell>
          <cell r="H25" t="str">
            <v>CUL</v>
          </cell>
        </row>
        <row r="26">
          <cell r="A26">
            <v>3235890</v>
          </cell>
          <cell r="B26" t="str">
            <v>MELISSA ANDREA LAITON GARNICA</v>
          </cell>
          <cell r="C26" t="str">
            <v>TECNOLOGO</v>
          </cell>
          <cell r="D26" t="str">
            <v>ANALISIS Y DESARROLLO DE SOFTWARE</v>
          </cell>
          <cell r="E26" t="str">
            <v>03/06/2025</v>
          </cell>
          <cell r="F26">
            <v>59</v>
          </cell>
          <cell r="G26" t="str">
            <v>FERNANDO FORERO GOMEZ</v>
          </cell>
          <cell r="H26" t="str">
            <v>CUL</v>
          </cell>
        </row>
        <row r="27">
          <cell r="A27">
            <v>3235891</v>
          </cell>
          <cell r="B27" t="str">
            <v>MELISSA ANDREA LAITON GARNICA</v>
          </cell>
          <cell r="C27" t="str">
            <v>TECNOLOGO</v>
          </cell>
          <cell r="D27" t="str">
            <v>ANALISIS Y DESARROLLO DE SOFTWARE</v>
          </cell>
          <cell r="E27" t="str">
            <v>03/06/2025</v>
          </cell>
          <cell r="F27">
            <v>59</v>
          </cell>
          <cell r="G27" t="str">
            <v>FERNANDO FORERO GOMEZ</v>
          </cell>
          <cell r="H27" t="str">
            <v>CUL</v>
          </cell>
        </row>
        <row r="28">
          <cell r="A28">
            <v>3235895</v>
          </cell>
          <cell r="B28" t="str">
            <v>MELISSA ANDREA LAITON GARNICA</v>
          </cell>
          <cell r="C28" t="str">
            <v>TECNOLOGO</v>
          </cell>
          <cell r="D28" t="str">
            <v>ANALISIS Y DESARROLLO DE SOFTWARE</v>
          </cell>
          <cell r="E28" t="str">
            <v>03/06/2025</v>
          </cell>
          <cell r="F28">
            <v>59</v>
          </cell>
          <cell r="G28" t="str">
            <v>JAIRZINHO CABRERA DAVILA</v>
          </cell>
          <cell r="H28" t="str">
            <v>CUL</v>
          </cell>
        </row>
        <row r="29">
          <cell r="A29">
            <v>3235892</v>
          </cell>
          <cell r="B29" t="str">
            <v>MELISSA ANDREA LAITON GARNICA</v>
          </cell>
          <cell r="C29" t="str">
            <v>TECNOLOGO</v>
          </cell>
          <cell r="D29" t="str">
            <v>ANALISIS Y DESARROLLO DE SOFTWARE</v>
          </cell>
          <cell r="E29" t="str">
            <v>03/06/2025</v>
          </cell>
          <cell r="F29">
            <v>56</v>
          </cell>
          <cell r="G29" t="str">
            <v>FERNANDO FORERO GOMEZ</v>
          </cell>
          <cell r="H29" t="str">
            <v>CUL</v>
          </cell>
        </row>
        <row r="30">
          <cell r="A30">
            <v>3287439</v>
          </cell>
          <cell r="B30" t="str">
            <v>MELISSA ANDREA LAITON GARNICA</v>
          </cell>
          <cell r="C30" t="str">
            <v>TECNICO</v>
          </cell>
          <cell r="D30" t="str">
            <v>SERVICIOS Y OPERACIONES MICROFINANCIERAS</v>
          </cell>
          <cell r="E30" t="str">
            <v>29/07/2025</v>
          </cell>
          <cell r="F30">
            <v>66</v>
          </cell>
          <cell r="G30" t="str">
            <v>YERSON ALVEIRO DUARTE VELASCO</v>
          </cell>
          <cell r="H30" t="str">
            <v>CUL</v>
          </cell>
        </row>
        <row r="31">
          <cell r="A31">
            <v>3186220</v>
          </cell>
          <cell r="B31" t="str">
            <v>HECTOR ANDRES CIPAMOCHA CENTENO</v>
          </cell>
          <cell r="C31" t="str">
            <v>TECNICO</v>
          </cell>
          <cell r="D31" t="str">
            <v>OPERACIONES DE COMERCIO EXTERIOR</v>
          </cell>
          <cell r="E31" t="str">
            <v>31/03/2025</v>
          </cell>
          <cell r="F31">
            <v>90</v>
          </cell>
          <cell r="G31" t="str">
            <v>DARLING NATHALI GOMEZ OSPINA</v>
          </cell>
          <cell r="H31" t="str">
            <v>DER</v>
          </cell>
        </row>
        <row r="32">
          <cell r="A32">
            <v>3235896</v>
          </cell>
          <cell r="B32" t="str">
            <v>HECTOR ANDRES CIPAMOCHA CENTENO</v>
          </cell>
          <cell r="C32" t="str">
            <v>TECNOLOGO</v>
          </cell>
          <cell r="D32" t="str">
            <v>ANALISIS Y DESARROLLO DE SOFTWARE</v>
          </cell>
          <cell r="E32" t="str">
            <v>03/06/2025</v>
          </cell>
          <cell r="F32">
            <v>57</v>
          </cell>
          <cell r="G32" t="str">
            <v>JAIRZINHO CABRERA DAVILA</v>
          </cell>
          <cell r="H32" t="str">
            <v>DER</v>
          </cell>
        </row>
        <row r="33">
          <cell r="A33">
            <v>3134618</v>
          </cell>
          <cell r="B33" t="str">
            <v>HECTOR ANDRES CIPAMOCHA CENTENO</v>
          </cell>
          <cell r="C33" t="str">
            <v>TECNOLOGO</v>
          </cell>
          <cell r="D33" t="str">
            <v>DESARROLLO DE MEDIOS GRAFICOS VISUALES</v>
          </cell>
          <cell r="E33" t="str">
            <v>09/12/2024</v>
          </cell>
          <cell r="F33">
            <v>44</v>
          </cell>
          <cell r="G33" t="str">
            <v>GUSTAVO ADOLFO MORALES CAMARGO</v>
          </cell>
          <cell r="H33" t="str">
            <v>DER</v>
          </cell>
        </row>
        <row r="34">
          <cell r="A34">
            <v>3134586</v>
          </cell>
          <cell r="B34" t="str">
            <v>HECTOR ANDRES CIPAMOCHA CENTENO</v>
          </cell>
          <cell r="C34" t="str">
            <v>TECNOLOGO</v>
          </cell>
          <cell r="D34" t="str">
            <v>DESARROLLO DE MEDIOS GRAFICOS VISUALES</v>
          </cell>
          <cell r="E34" t="str">
            <v>09/12/2024</v>
          </cell>
          <cell r="F34">
            <v>39</v>
          </cell>
          <cell r="G34" t="str">
            <v>GUSTAVO ADOLFO MORALES CAMARGO</v>
          </cell>
          <cell r="H34" t="str">
            <v>DER</v>
          </cell>
        </row>
        <row r="35">
          <cell r="A35">
            <v>3186221</v>
          </cell>
          <cell r="B35" t="str">
            <v>HECTOR ANDRES CIPAMOCHA CENTENO</v>
          </cell>
          <cell r="C35" t="str">
            <v>TECNICO</v>
          </cell>
          <cell r="D35" t="str">
            <v>OPERACIONES DE COMERCIO EXTERIOR</v>
          </cell>
          <cell r="E35" t="str">
            <v>31/03/2025</v>
          </cell>
          <cell r="F35">
            <v>58</v>
          </cell>
          <cell r="G35" t="str">
            <v>DARLING NATHALI GOMEZ OSPINA</v>
          </cell>
          <cell r="H35" t="str">
            <v>DER</v>
          </cell>
        </row>
        <row r="36">
          <cell r="A36">
            <v>3186285</v>
          </cell>
          <cell r="B36" t="str">
            <v>LAURA STHEPHANIA SANCHEZ PABON</v>
          </cell>
          <cell r="C36" t="str">
            <v>TECNICO</v>
          </cell>
          <cell r="D36" t="str">
            <v>SERVICIOS COMERCIALES Y FINANCIEROS</v>
          </cell>
          <cell r="E36" t="str">
            <v>31/03/2025</v>
          </cell>
          <cell r="F36">
            <v>76</v>
          </cell>
          <cell r="G36" t="str">
            <v>FRANKELI RODRIGUEZ VELASCO</v>
          </cell>
          <cell r="H36" t="str">
            <v>DER</v>
          </cell>
        </row>
        <row r="37">
          <cell r="A37">
            <v>3235912</v>
          </cell>
          <cell r="B37" t="str">
            <v>LAURA STHEPHANIA SANCHEZ PABON</v>
          </cell>
          <cell r="C37" t="str">
            <v>TECNOLOGO</v>
          </cell>
          <cell r="D37" t="str">
            <v>ANIMACION 3D</v>
          </cell>
          <cell r="E37" t="str">
            <v>03/06/2025</v>
          </cell>
          <cell r="F37">
            <v>61</v>
          </cell>
          <cell r="G37" t="str">
            <v>VICTOR QUINTERO VALENCIA</v>
          </cell>
          <cell r="H37" t="str">
            <v>DER</v>
          </cell>
        </row>
        <row r="38">
          <cell r="A38">
            <v>3167875</v>
          </cell>
          <cell r="B38" t="str">
            <v>LAURA STHEPHANIA SANCHEZ PABON</v>
          </cell>
          <cell r="C38" t="str">
            <v>TECNICO</v>
          </cell>
          <cell r="D38" t="str">
            <v>ASESORIA COMERCIAL</v>
          </cell>
          <cell r="E38" t="str">
            <v>01/04/2025</v>
          </cell>
          <cell r="F38">
            <v>51</v>
          </cell>
          <cell r="G38" t="str">
            <v>LUZ MERY ROZO GUTIERREZ</v>
          </cell>
          <cell r="H38" t="str">
            <v>DER</v>
          </cell>
        </row>
        <row r="39">
          <cell r="A39">
            <v>3167876</v>
          </cell>
          <cell r="B39" t="str">
            <v>LAURA STHEPHANIA SANCHEZ PABON</v>
          </cell>
          <cell r="C39" t="str">
            <v>TECNICO</v>
          </cell>
          <cell r="D39" t="str">
            <v>ASESORIA COMERCIAL</v>
          </cell>
          <cell r="E39" t="str">
            <v>01/04/2025</v>
          </cell>
          <cell r="F39">
            <v>42</v>
          </cell>
          <cell r="G39" t="str">
            <v>LUZ MERY ROZO GUTIERREZ</v>
          </cell>
          <cell r="H39" t="str">
            <v>DER</v>
          </cell>
        </row>
        <row r="40">
          <cell r="A40">
            <v>3186008</v>
          </cell>
          <cell r="B40" t="str">
            <v>LAURA STHEPHANIA SANCHEZ PABON</v>
          </cell>
          <cell r="C40" t="str">
            <v>TECNOLOGO</v>
          </cell>
          <cell r="D40" t="str">
            <v>DESARROLLO DE MEDIOS GRAFICOS VISUALES</v>
          </cell>
          <cell r="E40" t="str">
            <v>31/03/2025</v>
          </cell>
          <cell r="F40">
            <v>60</v>
          </cell>
          <cell r="G40" t="str">
            <v>JOHN JAIRO LEON MEZA</v>
          </cell>
          <cell r="H40" t="str">
            <v>DER</v>
          </cell>
        </row>
        <row r="41">
          <cell r="A41">
            <v>3235913</v>
          </cell>
          <cell r="B41" t="str">
            <v>MARIA CAROLINA GOMEZ CALLE</v>
          </cell>
          <cell r="C41" t="str">
            <v>TECNOLOGO</v>
          </cell>
          <cell r="D41" t="str">
            <v>ANIMACION 3D</v>
          </cell>
          <cell r="E41" t="str">
            <v>03/06/2025</v>
          </cell>
          <cell r="F41">
            <v>69</v>
          </cell>
          <cell r="G41" t="str">
            <v>VICTOR QUINTERO VALENCIA</v>
          </cell>
          <cell r="H41" t="str">
            <v>DER</v>
          </cell>
        </row>
        <row r="42">
          <cell r="A42">
            <v>3186222</v>
          </cell>
          <cell r="B42" t="str">
            <v>MARIA CAROLINA GOMEZ CALLE</v>
          </cell>
          <cell r="C42" t="str">
            <v>TECNICO</v>
          </cell>
          <cell r="D42" t="str">
            <v>OPERACIONES DE COMERCIO EXTERIOR</v>
          </cell>
          <cell r="E42" t="str">
            <v>31/03/2025</v>
          </cell>
          <cell r="F42">
            <v>64</v>
          </cell>
          <cell r="G42" t="str">
            <v>DARLING NATHALI GOMEZ OSPINA</v>
          </cell>
          <cell r="H42" t="str">
            <v>DER</v>
          </cell>
        </row>
        <row r="43">
          <cell r="A43">
            <v>3235914</v>
          </cell>
          <cell r="B43" t="str">
            <v>MARIA CAROLINA GOMEZ CALLE</v>
          </cell>
          <cell r="C43" t="str">
            <v>TECNOLOGO</v>
          </cell>
          <cell r="D43" t="str">
            <v>ANIMACION 3D</v>
          </cell>
          <cell r="E43" t="str">
            <v>03/06/2025</v>
          </cell>
          <cell r="F43">
            <v>60</v>
          </cell>
          <cell r="G43" t="str">
            <v>VICTOR QUINTERO VALENCIA</v>
          </cell>
          <cell r="H43" t="str">
            <v>DER</v>
          </cell>
        </row>
        <row r="44">
          <cell r="A44">
            <v>3167877</v>
          </cell>
          <cell r="B44" t="str">
            <v>MARIA CAROLINA GOMEZ CALLE</v>
          </cell>
          <cell r="C44" t="str">
            <v>TECNICO</v>
          </cell>
          <cell r="D44" t="str">
            <v>ASESORIA COMERCIAL</v>
          </cell>
          <cell r="E44" t="str">
            <v>01/04/2025</v>
          </cell>
          <cell r="F44">
            <v>56</v>
          </cell>
          <cell r="G44" t="str">
            <v>LUZ MERY ROZO GUTIERREZ</v>
          </cell>
          <cell r="H44" t="str">
            <v>DER</v>
          </cell>
        </row>
        <row r="45">
          <cell r="A45">
            <v>3070343</v>
          </cell>
          <cell r="B45" t="str">
            <v>MARIA CAROLINA GOMEZ CALLE</v>
          </cell>
          <cell r="C45" t="str">
            <v>TECNOLOGO</v>
          </cell>
          <cell r="D45" t="str">
            <v>COORDINACION DE PROCESOS LOGISTICOS</v>
          </cell>
          <cell r="E45" t="str">
            <v>16/09/2024</v>
          </cell>
          <cell r="F45">
            <v>40</v>
          </cell>
          <cell r="G45" t="str">
            <v>JAVIER GERARDO VIVAS PRIETO</v>
          </cell>
          <cell r="H45" t="str">
            <v>DER</v>
          </cell>
        </row>
        <row r="46">
          <cell r="A46">
            <v>3118374</v>
          </cell>
          <cell r="B46" t="str">
            <v>ALBERTO ANTONIO TAPIA TORRES</v>
          </cell>
          <cell r="C46" t="str">
            <v>TECNOLOGO</v>
          </cell>
          <cell r="D46" t="str">
            <v>COORDINACION DE PROCESOS LOGISTICOS</v>
          </cell>
          <cell r="E46" t="str">
            <v>18/11/2024</v>
          </cell>
          <cell r="F46">
            <v>44</v>
          </cell>
          <cell r="G46" t="str">
            <v>GRACIELA MARTINEZ JIMENEZ</v>
          </cell>
          <cell r="H46" t="str">
            <v>EMP</v>
          </cell>
        </row>
        <row r="47">
          <cell r="A47">
            <v>3134622</v>
          </cell>
          <cell r="B47" t="str">
            <v>ALBERTO ANTONIO TAPIA TORRES</v>
          </cell>
          <cell r="C47" t="str">
            <v>TECNOLOGO</v>
          </cell>
          <cell r="D47" t="str">
            <v>ANALISIS Y DESARROLLO DE SOFTWARE</v>
          </cell>
          <cell r="E47" t="str">
            <v>09/12/2024</v>
          </cell>
          <cell r="F47">
            <v>43</v>
          </cell>
          <cell r="G47" t="str">
            <v>ELIZABETH GELVES GELVES</v>
          </cell>
          <cell r="H47" t="str">
            <v>EMP</v>
          </cell>
        </row>
        <row r="48">
          <cell r="A48">
            <v>3118500</v>
          </cell>
          <cell r="B48" t="str">
            <v>ALBERTO ANTONIO TAPIA TORRES</v>
          </cell>
          <cell r="C48" t="str">
            <v>TECNOLOGO</v>
          </cell>
          <cell r="D48" t="str">
            <v>COORDINACION DE PROCESOS LOGISTICOS</v>
          </cell>
          <cell r="E48" t="str">
            <v>18/11/2024</v>
          </cell>
          <cell r="F48">
            <v>40</v>
          </cell>
          <cell r="G48" t="str">
            <v>GRACIELA MARTINEZ JIMENEZ</v>
          </cell>
          <cell r="H48" t="str">
            <v>EMP</v>
          </cell>
        </row>
        <row r="49">
          <cell r="A49">
            <v>3070337</v>
          </cell>
          <cell r="B49" t="str">
            <v>ALBERTO ANTONIO TAPIA TORRES</v>
          </cell>
          <cell r="C49" t="str">
            <v>TECNOLOGO</v>
          </cell>
          <cell r="D49" t="str">
            <v>COORDINACION DE PROCESOS LOGISTICOS</v>
          </cell>
          <cell r="E49" t="str">
            <v>16/09/2024</v>
          </cell>
          <cell r="F49">
            <v>38</v>
          </cell>
          <cell r="G49" t="str">
            <v>OSCAR EDUARDO SARMIENTO SAAVEDRA</v>
          </cell>
          <cell r="H49" t="str">
            <v>EMP</v>
          </cell>
        </row>
        <row r="50">
          <cell r="A50">
            <v>3070336</v>
          </cell>
          <cell r="B50" t="str">
            <v>ALBERTO ANTONIO TAPIA TORRES</v>
          </cell>
          <cell r="C50" t="str">
            <v>TECNOLOGO</v>
          </cell>
          <cell r="D50" t="str">
            <v>COORDINACION DE PROCESOS LOGISTICOS</v>
          </cell>
          <cell r="E50" t="str">
            <v>16/09/2024</v>
          </cell>
          <cell r="F50">
            <v>32</v>
          </cell>
          <cell r="G50" t="str">
            <v>OSCAR EDUARDO SARMIENTO SAAVEDRA</v>
          </cell>
          <cell r="H50" t="str">
            <v>EMP</v>
          </cell>
        </row>
        <row r="51">
          <cell r="A51">
            <v>3118494</v>
          </cell>
          <cell r="B51" t="str">
            <v>ALBERTO ANTONIO TAPIA TORRES</v>
          </cell>
          <cell r="C51" t="str">
            <v>TECNOLOGO</v>
          </cell>
          <cell r="D51" t="str">
            <v>ANALISIS Y DESARROLLO DE SOFTWARE</v>
          </cell>
          <cell r="E51" t="str">
            <v>18/11/2024</v>
          </cell>
          <cell r="F51">
            <v>42</v>
          </cell>
          <cell r="G51" t="str">
            <v>ALEX EDUARDO ZAMBRANO PEREZ</v>
          </cell>
          <cell r="H51" t="str">
            <v>EMP</v>
          </cell>
        </row>
        <row r="52">
          <cell r="A52">
            <v>3236062</v>
          </cell>
          <cell r="B52" t="str">
            <v>LUIS ARTURO BASTIDAS</v>
          </cell>
          <cell r="C52" t="str">
            <v>TECNICO</v>
          </cell>
          <cell r="D52" t="str">
            <v>SERVICIOS COMERCIALES Y FINANCIEROS</v>
          </cell>
          <cell r="E52" t="str">
            <v>03/06/2025</v>
          </cell>
          <cell r="F52">
            <v>72</v>
          </cell>
          <cell r="G52" t="str">
            <v>MOISES EDGARDO MERIÑO POLO</v>
          </cell>
          <cell r="H52" t="str">
            <v>EMP</v>
          </cell>
        </row>
        <row r="53">
          <cell r="A53">
            <v>3118495</v>
          </cell>
          <cell r="B53" t="str">
            <v>LUIS ARTURO BASTIDAS</v>
          </cell>
          <cell r="C53" t="str">
            <v>TECNOLOGO</v>
          </cell>
          <cell r="D53" t="str">
            <v>ANALISIS Y DESARROLLO DE SOFTWARE</v>
          </cell>
          <cell r="E53" t="str">
            <v>18/11/2024</v>
          </cell>
          <cell r="F53">
            <v>39</v>
          </cell>
          <cell r="G53" t="str">
            <v>ALEX EDUARDO ZAMBRANO PEREZ</v>
          </cell>
          <cell r="H53" t="str">
            <v>EMP</v>
          </cell>
        </row>
        <row r="54">
          <cell r="A54">
            <v>3070335</v>
          </cell>
          <cell r="B54" t="str">
            <v>LUIS ARTURO BASTIDAS</v>
          </cell>
          <cell r="C54" t="str">
            <v>TECNOLOGO</v>
          </cell>
          <cell r="D54" t="str">
            <v>COORDINACION DE PROCESOS LOGISTICOS</v>
          </cell>
          <cell r="E54" t="str">
            <v>16/09/2024</v>
          </cell>
          <cell r="F54">
            <v>35</v>
          </cell>
          <cell r="G54" t="str">
            <v>OSCAR EDUARDO SARMIENTO SAAVEDRA</v>
          </cell>
          <cell r="H54" t="str">
            <v>EMP</v>
          </cell>
        </row>
        <row r="55">
          <cell r="A55">
            <v>3235974</v>
          </cell>
          <cell r="B55" t="str">
            <v>LUIS ARTURO BASTIDAS</v>
          </cell>
          <cell r="C55" t="str">
            <v>TECNOLOGO</v>
          </cell>
          <cell r="D55" t="str">
            <v>COORDINACION DE PROCESOS LOGISTICOS</v>
          </cell>
          <cell r="E55" t="str">
            <v>03/06/2025</v>
          </cell>
          <cell r="F55">
            <v>73</v>
          </cell>
          <cell r="G55" t="str">
            <v>CLAUDIA ROCIO VACCA GARCIA</v>
          </cell>
          <cell r="H55" t="str">
            <v>EMP</v>
          </cell>
        </row>
        <row r="56">
          <cell r="A56">
            <v>3186207</v>
          </cell>
          <cell r="B56" t="str">
            <v>ESTEFANIA SANDOVAL CRUZ</v>
          </cell>
          <cell r="C56" t="str">
            <v>TECNICO</v>
          </cell>
          <cell r="D56" t="str">
            <v>OPERACIONES COMERCIALES EN RETAIL</v>
          </cell>
          <cell r="E56" t="str">
            <v>31/03/2025</v>
          </cell>
          <cell r="F56">
            <v>71</v>
          </cell>
          <cell r="G56" t="str">
            <v>KEBIN CUESTA RENTERIA</v>
          </cell>
          <cell r="H56" t="str">
            <v>EMP</v>
          </cell>
        </row>
        <row r="57">
          <cell r="A57">
            <v>3235976</v>
          </cell>
          <cell r="B57" t="str">
            <v>ESTEFANIA SANDOVAL CRUZ</v>
          </cell>
          <cell r="C57" t="str">
            <v>TECNOLOGO</v>
          </cell>
          <cell r="D57" t="str">
            <v>COORDINACION DE PROCESOS LOGISTICOS</v>
          </cell>
          <cell r="E57" t="str">
            <v>03/06/2025</v>
          </cell>
          <cell r="F57">
            <v>68</v>
          </cell>
          <cell r="G57" t="str">
            <v>CLAUDIA ROCIO VACCA GARCIA</v>
          </cell>
          <cell r="H57" t="str">
            <v>EMP</v>
          </cell>
        </row>
        <row r="58">
          <cell r="A58">
            <v>3118493</v>
          </cell>
          <cell r="B58" t="str">
            <v>ESTEFANIA SANDOVAL CRUZ</v>
          </cell>
          <cell r="C58" t="str">
            <v>TECNOLOGO</v>
          </cell>
          <cell r="D58" t="str">
            <v>ANALISIS Y DESARROLLO DE SOFTWARE</v>
          </cell>
          <cell r="E58" t="str">
            <v>18/11/2024</v>
          </cell>
          <cell r="F58">
            <v>41</v>
          </cell>
          <cell r="G58" t="str">
            <v>ANDRES RUBIANO CUCARIAN</v>
          </cell>
          <cell r="H58" t="str">
            <v>EMP</v>
          </cell>
        </row>
        <row r="59">
          <cell r="A59">
            <v>3118501</v>
          </cell>
          <cell r="B59" t="str">
            <v>ESTEFANIA SANDOVAL CRUZ</v>
          </cell>
          <cell r="C59" t="str">
            <v>TECNOLOGO</v>
          </cell>
          <cell r="D59" t="str">
            <v>COORDINACION DE PROCESOS LOGISTICOS</v>
          </cell>
          <cell r="E59" t="str">
            <v>18/11/2024</v>
          </cell>
          <cell r="F59">
            <v>39</v>
          </cell>
          <cell r="G59" t="str">
            <v>GRACIELA MARTINEZ JIMENEZ</v>
          </cell>
          <cell r="H59" t="str">
            <v>EMP</v>
          </cell>
        </row>
        <row r="60">
          <cell r="A60">
            <v>3070334</v>
          </cell>
          <cell r="B60" t="str">
            <v>ESTEFANIA SANDOVAL CRUZ</v>
          </cell>
          <cell r="C60" t="str">
            <v>TECNOLOGO</v>
          </cell>
          <cell r="D60" t="str">
            <v>COORDINACION DE PROCESOS LOGISTICOS</v>
          </cell>
          <cell r="E60" t="str">
            <v>16/09/2024</v>
          </cell>
          <cell r="F60">
            <v>33</v>
          </cell>
          <cell r="G60" t="str">
            <v>OSCAR EDUARDO SARMIENTO SAAVEDRA</v>
          </cell>
          <cell r="H60" t="str">
            <v>EMP</v>
          </cell>
        </row>
        <row r="61">
          <cell r="A61">
            <v>3236104</v>
          </cell>
          <cell r="B61" t="str">
            <v>NELSON ALFREDO VARGAS MORA</v>
          </cell>
          <cell r="C61" t="str">
            <v>TECNICO</v>
          </cell>
          <cell r="D61" t="str">
            <v>SERVICIOS COMERCIALES Y FINANCIEROS</v>
          </cell>
          <cell r="E61" t="str">
            <v>03/06/2025</v>
          </cell>
          <cell r="F61">
            <v>73</v>
          </cell>
          <cell r="G61" t="str">
            <v>MOISES EDGARDO MERIÑO POLO</v>
          </cell>
          <cell r="H61" t="str">
            <v>ETI</v>
          </cell>
        </row>
        <row r="62">
          <cell r="A62">
            <v>3185932</v>
          </cell>
          <cell r="B62" t="str">
            <v>NELSON ALFREDO VARGAS MORA</v>
          </cell>
          <cell r="C62" t="str">
            <v>TECNOLOGO</v>
          </cell>
          <cell r="D62" t="str">
            <v>COORDINACION DE PROCESOS LOGISTICOS</v>
          </cell>
          <cell r="E62" t="str">
            <v>31/03/2025</v>
          </cell>
          <cell r="F62">
            <v>60</v>
          </cell>
          <cell r="G62" t="str">
            <v>LAURA MARCELA BORRERO RAMIREZ</v>
          </cell>
          <cell r="H62" t="str">
            <v>ETI</v>
          </cell>
        </row>
        <row r="63">
          <cell r="A63">
            <v>3070344</v>
          </cell>
          <cell r="B63" t="str">
            <v>NELSON ALFREDO VARGAS MORA</v>
          </cell>
          <cell r="C63" t="str">
            <v>TECNOLOGO</v>
          </cell>
          <cell r="D63" t="str">
            <v>COORDINACION DE PROCESOS LOGISTICOS</v>
          </cell>
          <cell r="E63" t="str">
            <v>16/09/2024</v>
          </cell>
          <cell r="F63">
            <v>41</v>
          </cell>
          <cell r="G63" t="str">
            <v>JAVIER GERARDO VIVAS PRIETO</v>
          </cell>
          <cell r="H63" t="str">
            <v>ETI</v>
          </cell>
        </row>
        <row r="64">
          <cell r="A64">
            <v>3236062</v>
          </cell>
          <cell r="B64" t="str">
            <v>OLGA STELLA PARDO SARAY</v>
          </cell>
          <cell r="C64" t="str">
            <v>TECNICO</v>
          </cell>
          <cell r="D64" t="str">
            <v>SERVICIOS COMERCIALES Y FINANCIEROS</v>
          </cell>
          <cell r="E64" t="str">
            <v>03/06/2025</v>
          </cell>
          <cell r="F64">
            <v>72</v>
          </cell>
          <cell r="G64" t="str">
            <v>MOISES EDGARDO MERIÑO POLO</v>
          </cell>
          <cell r="H64" t="str">
            <v>ETI</v>
          </cell>
        </row>
        <row r="65">
          <cell r="A65">
            <v>3185934</v>
          </cell>
          <cell r="B65" t="str">
            <v>OLGA STELLA PARDO SARAY</v>
          </cell>
          <cell r="C65" t="str">
            <v>TECNOLOGO</v>
          </cell>
          <cell r="D65" t="str">
            <v>COORDINACION DE PROCESOS LOGISTICOS</v>
          </cell>
          <cell r="E65" t="str">
            <v>31/03/2025</v>
          </cell>
          <cell r="F65">
            <v>47</v>
          </cell>
          <cell r="G65" t="str">
            <v>LAURA MARCELA BORRERO RAMIREZ</v>
          </cell>
          <cell r="H65" t="str">
            <v>ETI</v>
          </cell>
        </row>
        <row r="66">
          <cell r="A66">
            <v>3185935</v>
          </cell>
          <cell r="B66" t="str">
            <v>OLGA STELLA PARDO SARAY</v>
          </cell>
          <cell r="C66" t="str">
            <v>TECNOLOGO</v>
          </cell>
          <cell r="D66" t="str">
            <v>COORDINACION DE PROCESOS LOGISTICOS</v>
          </cell>
          <cell r="E66" t="str">
            <v>31/03/2025</v>
          </cell>
          <cell r="F66">
            <v>52</v>
          </cell>
          <cell r="G66" t="str">
            <v>LAURA MARCELA BORRERO RAMIREZ</v>
          </cell>
          <cell r="H66" t="str">
            <v>ETI</v>
          </cell>
        </row>
        <row r="67">
          <cell r="A67">
            <v>3236103</v>
          </cell>
          <cell r="B67" t="str">
            <v>IVAN DARIO RODRIGUEZ BUSTAMANTE</v>
          </cell>
          <cell r="C67" t="str">
            <v>TECNICO</v>
          </cell>
          <cell r="D67" t="str">
            <v>SERVICIOS COMERCIALES Y FINANCIEROS</v>
          </cell>
          <cell r="E67" t="str">
            <v>03/06/2025</v>
          </cell>
          <cell r="F67">
            <v>68</v>
          </cell>
          <cell r="G67" t="str">
            <v>MOISES EDGARDO MERIÑO POLO</v>
          </cell>
          <cell r="H67" t="str">
            <v>ETI</v>
          </cell>
        </row>
        <row r="68">
          <cell r="A68">
            <v>3185933</v>
          </cell>
          <cell r="B68" t="str">
            <v>IVAN DARIO RODRIGUEZ BUSTAMANTE</v>
          </cell>
          <cell r="C68" t="str">
            <v>TECNOLOGO</v>
          </cell>
          <cell r="D68" t="str">
            <v>COORDINACION DE PROCESOS LOGISTICOS</v>
          </cell>
          <cell r="E68" t="str">
            <v>31/03/2025</v>
          </cell>
          <cell r="F68">
            <v>61</v>
          </cell>
          <cell r="G68" t="str">
            <v>LAURA MARCELA BORRERO RAMIREZ</v>
          </cell>
          <cell r="H68" t="str">
            <v>ETI</v>
          </cell>
        </row>
        <row r="69">
          <cell r="A69">
            <v>3070342</v>
          </cell>
          <cell r="B69" t="str">
            <v>IVAN DARIO RODRIGUEZ BUSTAMANTE</v>
          </cell>
          <cell r="C69" t="str">
            <v>TECNOLOGO</v>
          </cell>
          <cell r="D69" t="str">
            <v>COORDINACION DE PROCESOS LOGISTICOS</v>
          </cell>
          <cell r="E69" t="str">
            <v>16/09/2024</v>
          </cell>
          <cell r="F69">
            <v>36</v>
          </cell>
          <cell r="G69" t="str">
            <v>JAVIER GERARDO VIVAS PRIETO</v>
          </cell>
          <cell r="H69" t="str">
            <v>ETI</v>
          </cell>
        </row>
        <row r="70">
          <cell r="A70">
            <v>3185931</v>
          </cell>
          <cell r="B70" t="str">
            <v>IVAN DARIO RODRIGUEZ BUSTAMANTE</v>
          </cell>
          <cell r="C70" t="str">
            <v>TECNOLOGO</v>
          </cell>
          <cell r="D70" t="str">
            <v>COORDINACION DE PROCESOS LOGISTICOS</v>
          </cell>
          <cell r="E70" t="str">
            <v>31/03/2025</v>
          </cell>
          <cell r="F70">
            <v>60</v>
          </cell>
          <cell r="G70" t="str">
            <v>EDGAR HERNANDO SANTANA ORDOÑEZ</v>
          </cell>
          <cell r="H70" t="str">
            <v>ETI</v>
          </cell>
        </row>
        <row r="71">
          <cell r="A71">
            <v>3134623</v>
          </cell>
          <cell r="B71" t="str">
            <v>CAMILO ERNESTO CALDERON GALINDO</v>
          </cell>
          <cell r="C71" t="str">
            <v>TECNOLOGO</v>
          </cell>
          <cell r="D71" t="str">
            <v>ANALISIS Y DESARROLLO DE SOFTWARE</v>
          </cell>
          <cell r="E71" t="str">
            <v>09/12/2024</v>
          </cell>
          <cell r="F71">
            <v>41</v>
          </cell>
          <cell r="G71" t="str">
            <v>ELIZABETH GELVES GELVES</v>
          </cell>
          <cell r="H71" t="str">
            <v>FIS</v>
          </cell>
        </row>
        <row r="72">
          <cell r="A72">
            <v>3118497</v>
          </cell>
          <cell r="B72" t="str">
            <v>CAMILO ERNESTO CALDERON GALINDO</v>
          </cell>
          <cell r="C72" t="str">
            <v>TECNOLOGO</v>
          </cell>
          <cell r="D72" t="str">
            <v>ANALISIS Y DESARROLLO DE SOFTWARE</v>
          </cell>
          <cell r="E72" t="str">
            <v>18/11/2024</v>
          </cell>
          <cell r="F72">
            <v>40</v>
          </cell>
          <cell r="G72" t="str">
            <v>EDUER PABON MORALES</v>
          </cell>
          <cell r="H72" t="str">
            <v>FIS</v>
          </cell>
        </row>
        <row r="73">
          <cell r="A73">
            <v>3070323</v>
          </cell>
          <cell r="B73" t="str">
            <v>CAMILO ERNESTO CALDERON GALINDO</v>
          </cell>
          <cell r="C73" t="str">
            <v>TECNOLOGO</v>
          </cell>
          <cell r="D73" t="str">
            <v>ANALISIS Y DESARROLLO DE SOFTWARE</v>
          </cell>
          <cell r="E73" t="str">
            <v>16/09/2024</v>
          </cell>
          <cell r="F73">
            <v>37</v>
          </cell>
          <cell r="G73" t="str">
            <v>FRANCISCO ARNALDO VARGAS BERMUDEZ</v>
          </cell>
          <cell r="H73" t="str">
            <v>FIS</v>
          </cell>
        </row>
        <row r="74">
          <cell r="A74">
            <v>3118311</v>
          </cell>
          <cell r="B74" t="str">
            <v>CAMILO ERNESTO CALDERON GALINDO</v>
          </cell>
          <cell r="C74" t="str">
            <v>TECNOLOGO</v>
          </cell>
          <cell r="D74" t="str">
            <v>ANALISIS Y DESARROLLO DE SOFTWARE</v>
          </cell>
          <cell r="E74" t="str">
            <v>18/11/2024</v>
          </cell>
          <cell r="F74">
            <v>37</v>
          </cell>
          <cell r="G74" t="str">
            <v>ANDRES RUBIANO CUCARIAN</v>
          </cell>
          <cell r="H74" t="str">
            <v>FIS</v>
          </cell>
        </row>
        <row r="75">
          <cell r="A75">
            <v>3070348</v>
          </cell>
          <cell r="B75" t="str">
            <v>CAMILO ERNESTO CALDERON GALINDO</v>
          </cell>
          <cell r="C75" t="str">
            <v>TECNOLOGO</v>
          </cell>
          <cell r="D75" t="str">
            <v>DESARROLLO DE MEDIOS GRAFICOS VISUALES</v>
          </cell>
          <cell r="E75" t="str">
            <v>16/09/2024</v>
          </cell>
          <cell r="F75">
            <v>35</v>
          </cell>
          <cell r="G75" t="str">
            <v>LEYDY NAHIR FONSECA CARDENAS</v>
          </cell>
          <cell r="H75" t="str">
            <v>FIS</v>
          </cell>
        </row>
        <row r="76">
          <cell r="A76">
            <v>3070350</v>
          </cell>
          <cell r="B76" t="str">
            <v>CAMILO ERNESTO CALDERON GALINDO</v>
          </cell>
          <cell r="C76" t="str">
            <v>TECNOLOGO</v>
          </cell>
          <cell r="D76" t="str">
            <v>DESARROLLO DE MEDIOS GRAFICOS VISUALES</v>
          </cell>
          <cell r="E76" t="str">
            <v>16/09/2024</v>
          </cell>
          <cell r="F76">
            <v>35</v>
          </cell>
          <cell r="G76" t="str">
            <v>LEYDY NAHIR FONSECA CARDENAS</v>
          </cell>
          <cell r="H76" t="str">
            <v>FIS</v>
          </cell>
        </row>
        <row r="77">
          <cell r="A77">
            <v>3070324</v>
          </cell>
          <cell r="B77" t="str">
            <v>CAMILO ERNESTO CALDERON GALINDO</v>
          </cell>
          <cell r="C77" t="str">
            <v>TECNOLOGO</v>
          </cell>
          <cell r="D77" t="str">
            <v>ANALISIS Y DESARROLLO DE SOFTWARE</v>
          </cell>
          <cell r="E77" t="str">
            <v>16/09/2024</v>
          </cell>
          <cell r="F77">
            <v>34</v>
          </cell>
          <cell r="G77" t="str">
            <v>FRANCISCO ARNALDO VARGAS BERMUDEZ</v>
          </cell>
          <cell r="H77" t="str">
            <v>FIS</v>
          </cell>
        </row>
        <row r="78">
          <cell r="A78">
            <v>3118491</v>
          </cell>
          <cell r="B78" t="str">
            <v>CAMILO ERNESTO CALDERON GALINDO</v>
          </cell>
          <cell r="C78" t="str">
            <v>TECNOLOGO</v>
          </cell>
          <cell r="D78" t="str">
            <v>ANALISIS Y DESARROLLO DE SOFTWARE</v>
          </cell>
          <cell r="E78" t="str">
            <v>18/11/2024</v>
          </cell>
          <cell r="F78">
            <v>41</v>
          </cell>
          <cell r="G78" t="str">
            <v>ANDRES RUBIANO CUCARIAN</v>
          </cell>
          <cell r="H78" t="str">
            <v>FIS</v>
          </cell>
        </row>
        <row r="79">
          <cell r="A79">
            <v>2977227</v>
          </cell>
          <cell r="B79" t="str">
            <v>CINDY YOHANA BOHORQUEZ GARZON</v>
          </cell>
          <cell r="C79" t="str">
            <v>TECNOLOGO</v>
          </cell>
          <cell r="D79" t="str">
            <v>DESARROLLO DE MEDIOS GRAFICOS VISUALES</v>
          </cell>
          <cell r="E79" t="str">
            <v>14/05/2024</v>
          </cell>
          <cell r="F79">
            <v>35</v>
          </cell>
          <cell r="G79" t="str">
            <v>WANDA POSADA PAZ</v>
          </cell>
          <cell r="H79" t="str">
            <v>INV</v>
          </cell>
        </row>
        <row r="80">
          <cell r="A80">
            <v>3070314</v>
          </cell>
          <cell r="B80" t="str">
            <v>CINDY YOHANA BOHORQUEZ GARZON</v>
          </cell>
          <cell r="C80" t="str">
            <v>TECNOLOGO</v>
          </cell>
          <cell r="D80" t="str">
            <v>ANALISIS Y DESARROLLO DE SOFTWARE</v>
          </cell>
          <cell r="E80" t="str">
            <v>16/09/2024</v>
          </cell>
          <cell r="F80">
            <v>35</v>
          </cell>
          <cell r="G80" t="str">
            <v>DAVID EDUARDO LEON</v>
          </cell>
          <cell r="H80" t="str">
            <v>INV</v>
          </cell>
        </row>
        <row r="81">
          <cell r="A81">
            <v>2977228</v>
          </cell>
          <cell r="B81" t="str">
            <v>CINDY YOHANA BOHORQUEZ GARZON</v>
          </cell>
          <cell r="C81" t="str">
            <v>TECNOLOGO</v>
          </cell>
          <cell r="D81" t="str">
            <v>DESARROLLO DE MEDIOS GRAFICOS VISUALES</v>
          </cell>
          <cell r="E81" t="str">
            <v>14/05/2024</v>
          </cell>
          <cell r="F81">
            <v>34</v>
          </cell>
          <cell r="G81" t="str">
            <v>LEYDY NAHIR FONSECA CARDENAS</v>
          </cell>
          <cell r="H81" t="str">
            <v>INV</v>
          </cell>
        </row>
        <row r="82">
          <cell r="A82">
            <v>3070339</v>
          </cell>
          <cell r="B82" t="str">
            <v>CINDY YOHANA BOHORQUEZ GARZON</v>
          </cell>
          <cell r="C82" t="str">
            <v>TECNOLOGO</v>
          </cell>
          <cell r="D82" t="str">
            <v>COORDINACION DE PROCESOS LOGISTICOS</v>
          </cell>
          <cell r="E82" t="str">
            <v>16/09/2024</v>
          </cell>
          <cell r="F82">
            <v>34</v>
          </cell>
          <cell r="G82" t="str">
            <v>DANIELA ALEXANDRA MARTINEZ MARTIN</v>
          </cell>
          <cell r="H82" t="str">
            <v>INV</v>
          </cell>
        </row>
        <row r="83">
          <cell r="A83">
            <v>2977225</v>
          </cell>
          <cell r="B83" t="str">
            <v>CINDY YOHANA BOHORQUEZ GARZON</v>
          </cell>
          <cell r="C83" t="str">
            <v>TECNOLOGO</v>
          </cell>
          <cell r="D83" t="str">
            <v>DESARROLLO DE MEDIOS GRAFICOS VISUALES</v>
          </cell>
          <cell r="E83" t="str">
            <v>14/05/2024</v>
          </cell>
          <cell r="F83">
            <v>33</v>
          </cell>
          <cell r="G83" t="str">
            <v>WANDA POSADA PAZ</v>
          </cell>
          <cell r="H83" t="str">
            <v>INV</v>
          </cell>
        </row>
        <row r="84">
          <cell r="A84">
            <v>3070340</v>
          </cell>
          <cell r="B84" t="str">
            <v>CINDY YOHANA BOHORQUEZ GARZON</v>
          </cell>
          <cell r="C84" t="str">
            <v>TECNOLOGO</v>
          </cell>
          <cell r="D84" t="str">
            <v>COORDINACION DE PROCESOS LOGISTICOS</v>
          </cell>
          <cell r="E84" t="str">
            <v>16/09/2024</v>
          </cell>
          <cell r="F84">
            <v>33</v>
          </cell>
          <cell r="G84" t="str">
            <v>DANIELA ALEXANDRA MARTINEZ MARTIN</v>
          </cell>
          <cell r="H84" t="str">
            <v>INV</v>
          </cell>
        </row>
        <row r="85">
          <cell r="A85">
            <v>2977229</v>
          </cell>
          <cell r="B85" t="str">
            <v>CINDY YOHANA BOHORQUEZ GARZON</v>
          </cell>
          <cell r="C85" t="str">
            <v>TECNOLOGO</v>
          </cell>
          <cell r="D85" t="str">
            <v>DESARROLLO DE MEDIOS GRAFICOS VISUALES</v>
          </cell>
          <cell r="E85" t="str">
            <v>14/05/2024</v>
          </cell>
          <cell r="F85">
            <v>31</v>
          </cell>
          <cell r="G85" t="str">
            <v>LEYDY NAHIR FONSECA CARDENAS</v>
          </cell>
          <cell r="H85" t="str">
            <v>INV</v>
          </cell>
        </row>
        <row r="86">
          <cell r="A86">
            <v>2977226</v>
          </cell>
          <cell r="B86" t="str">
            <v>CINDY YOHANA BOHORQUEZ GARZON</v>
          </cell>
          <cell r="C86" t="str">
            <v>TECNOLOGO</v>
          </cell>
          <cell r="D86" t="str">
            <v>DESARROLLO DE MEDIOS GRAFICOS VISUALES</v>
          </cell>
          <cell r="E86" t="str">
            <v>14/05/2024</v>
          </cell>
          <cell r="F86">
            <v>29</v>
          </cell>
          <cell r="G86" t="str">
            <v>WANDA POSADA PAZ</v>
          </cell>
          <cell r="H86" t="str">
            <v>INV</v>
          </cell>
        </row>
        <row r="87">
          <cell r="A87">
            <v>2977742</v>
          </cell>
          <cell r="B87" t="str">
            <v>CINDY YOHANA BOHORQUEZ GARZON</v>
          </cell>
          <cell r="C87" t="str">
            <v>TECNOLOGO</v>
          </cell>
          <cell r="D87" t="str">
            <v>COORDINACION DE PROCESOS LOGISTICOS</v>
          </cell>
          <cell r="E87" t="str">
            <v>14/05/2024</v>
          </cell>
          <cell r="F87">
            <v>39</v>
          </cell>
          <cell r="G87" t="str">
            <v>JUAN CAMILO BOHORQUEZ RODRIGUEZ</v>
          </cell>
          <cell r="H87" t="str">
            <v>INV</v>
          </cell>
        </row>
        <row r="88">
          <cell r="A88">
            <v>3186303</v>
          </cell>
          <cell r="B88" t="str">
            <v>ELKIN DURAN MANCIPE</v>
          </cell>
          <cell r="C88" t="str">
            <v>TECNICO</v>
          </cell>
          <cell r="D88" t="str">
            <v>SERVICIOS Y OPERACIONES MICROFINANCIERAS</v>
          </cell>
          <cell r="E88" t="str">
            <v>31/03/2025</v>
          </cell>
          <cell r="F88">
            <v>57</v>
          </cell>
          <cell r="G88" t="str">
            <v>YERSON ALVEIRO DUARTE VELASCO</v>
          </cell>
          <cell r="H88" t="str">
            <v>MAT</v>
          </cell>
        </row>
        <row r="89">
          <cell r="A89">
            <v>3118506</v>
          </cell>
          <cell r="B89" t="str">
            <v>ELKIN DURAN MANCIPE</v>
          </cell>
          <cell r="C89" t="str">
            <v>TECNOLOGO</v>
          </cell>
          <cell r="D89" t="str">
            <v>COORDINACION DE PROCESOS LOGISTICOS</v>
          </cell>
          <cell r="E89" t="str">
            <v>18/11/2024</v>
          </cell>
          <cell r="F89">
            <v>45</v>
          </cell>
          <cell r="G89" t="str">
            <v>JESUS RENE BUITRAGO PEDRAZA</v>
          </cell>
          <cell r="H89" t="str">
            <v>MAT</v>
          </cell>
        </row>
        <row r="90">
          <cell r="A90">
            <v>3118507</v>
          </cell>
          <cell r="B90" t="str">
            <v>ELKIN DURAN MANCIPE</v>
          </cell>
          <cell r="C90" t="str">
            <v>TECNOLOGO</v>
          </cell>
          <cell r="D90" t="str">
            <v>COORDINACION DE PROCESOS LOGISTICOS</v>
          </cell>
          <cell r="E90" t="str">
            <v>18/11/2024</v>
          </cell>
          <cell r="F90">
            <v>44</v>
          </cell>
          <cell r="G90" t="str">
            <v>JESUS RENE BUITRAGO PEDRAZA</v>
          </cell>
          <cell r="H90" t="str">
            <v>MAT</v>
          </cell>
        </row>
        <row r="91">
          <cell r="A91">
            <v>3070360</v>
          </cell>
          <cell r="B91" t="str">
            <v>ELKIN DURAN MANCIPE</v>
          </cell>
          <cell r="C91" t="str">
            <v>TECNOLOGO</v>
          </cell>
          <cell r="D91" t="str">
            <v>DESARROLLO PUBLICITARIO</v>
          </cell>
          <cell r="E91" t="str">
            <v>16/09/2024</v>
          </cell>
          <cell r="F91">
            <v>32</v>
          </cell>
          <cell r="G91" t="str">
            <v>LUCY PAOLA REYES CARDENAS</v>
          </cell>
          <cell r="H91" t="str">
            <v>MAT</v>
          </cell>
        </row>
        <row r="92">
          <cell r="A92">
            <v>3070363</v>
          </cell>
          <cell r="B92" t="str">
            <v>ELKIN DURAN MANCIPE</v>
          </cell>
          <cell r="C92" t="str">
            <v>TECNOLOGO</v>
          </cell>
          <cell r="D92" t="str">
            <v>DESARROLLO PUBLICITARIO</v>
          </cell>
          <cell r="E92" t="str">
            <v>16/09/2024</v>
          </cell>
          <cell r="F92">
            <v>32</v>
          </cell>
          <cell r="G92" t="str">
            <v>LUCY PAOLA REYES CARDENAS</v>
          </cell>
          <cell r="H92" t="str">
            <v>MAT</v>
          </cell>
        </row>
        <row r="93">
          <cell r="A93">
            <v>3070345</v>
          </cell>
          <cell r="B93" t="str">
            <v>ELKIN DURAN MANCIPE</v>
          </cell>
          <cell r="C93" t="str">
            <v>TECNOLOGO</v>
          </cell>
          <cell r="D93" t="str">
            <v>COORDINACION DE PROCESOS LOGISTICOS</v>
          </cell>
          <cell r="E93" t="str">
            <v>16/09/2024</v>
          </cell>
          <cell r="F93">
            <v>41</v>
          </cell>
          <cell r="G93" t="str">
            <v>JAVIER GERARDO VIVAS PRIETO</v>
          </cell>
          <cell r="H93" t="str">
            <v>MAT</v>
          </cell>
        </row>
        <row r="94">
          <cell r="A94">
            <v>3236113</v>
          </cell>
          <cell r="B94" t="str">
            <v>JULIANA HERNANDEZ BARRERA</v>
          </cell>
          <cell r="C94" t="str">
            <v>TECNICO</v>
          </cell>
          <cell r="D94" t="str">
            <v>SERVICIOS Y OPERACIONES MICROFINANCIERAS</v>
          </cell>
          <cell r="E94" t="str">
            <v>03/06/2025</v>
          </cell>
          <cell r="F94">
            <v>67</v>
          </cell>
          <cell r="G94" t="str">
            <v>YERSON ALVEIRO DUARTE VELASCO</v>
          </cell>
          <cell r="H94" t="str">
            <v>MAT</v>
          </cell>
        </row>
        <row r="95">
          <cell r="A95">
            <v>3185930</v>
          </cell>
          <cell r="B95" t="str">
            <v>JULIANA HERNANDEZ BARRERA</v>
          </cell>
          <cell r="C95" t="str">
            <v>TECNOLOGO</v>
          </cell>
          <cell r="D95" t="str">
            <v>COORDINACION DE PROCESOS LOGISTICOS</v>
          </cell>
          <cell r="E95" t="str">
            <v>31/03/2025</v>
          </cell>
          <cell r="F95">
            <v>61</v>
          </cell>
          <cell r="G95" t="str">
            <v>EDGAR HERNANDO SANTANA ORDOÑEZ</v>
          </cell>
          <cell r="H95" t="str">
            <v>MAT</v>
          </cell>
        </row>
        <row r="96">
          <cell r="A96">
            <v>3185929</v>
          </cell>
          <cell r="B96" t="str">
            <v>JULIANA HERNANDEZ BARRERA</v>
          </cell>
          <cell r="C96" t="str">
            <v>TECNOLOGO</v>
          </cell>
          <cell r="D96" t="str">
            <v>COORDINACION DE PROCESOS LOGISTICOS</v>
          </cell>
          <cell r="E96" t="str">
            <v>31/03/2025</v>
          </cell>
          <cell r="F96">
            <v>53</v>
          </cell>
          <cell r="G96" t="str">
            <v>EDGAR HERNANDO SANTANA ORDOÑEZ</v>
          </cell>
          <cell r="H96" t="str">
            <v>MAT</v>
          </cell>
        </row>
        <row r="97">
          <cell r="A97">
            <v>3070361</v>
          </cell>
          <cell r="B97" t="str">
            <v>JULIANA HERNANDEZ BARRERA</v>
          </cell>
          <cell r="C97" t="str">
            <v>TECNOLOGO</v>
          </cell>
          <cell r="D97" t="str">
            <v>DESARROLLO PUBLICITARIO</v>
          </cell>
          <cell r="E97" t="str">
            <v>16/09/2024</v>
          </cell>
          <cell r="F97">
            <v>36</v>
          </cell>
          <cell r="G97" t="str">
            <v>LUCY PAOLA REYES CARDENAS</v>
          </cell>
          <cell r="H97" t="str">
            <v>MAT</v>
          </cell>
        </row>
        <row r="98">
          <cell r="A98">
            <v>3070364</v>
          </cell>
          <cell r="B98" t="str">
            <v>JULIANA HERNANDEZ BARRERA</v>
          </cell>
          <cell r="C98" t="str">
            <v>TECNOLOGO</v>
          </cell>
          <cell r="D98" t="str">
            <v>DESARROLLO PUBLICITARIO</v>
          </cell>
          <cell r="E98" t="str">
            <v>16/09/2024</v>
          </cell>
          <cell r="F98">
            <v>36</v>
          </cell>
          <cell r="G98" t="str">
            <v>LUCY PAOLA REYES CARDENAS</v>
          </cell>
          <cell r="H98" t="str">
            <v>MAT</v>
          </cell>
        </row>
        <row r="99">
          <cell r="A99">
            <v>3070358</v>
          </cell>
          <cell r="B99" t="str">
            <v>JULIANA HERNANDEZ BARRERA</v>
          </cell>
          <cell r="C99" t="str">
            <v>TECNOLOGO</v>
          </cell>
          <cell r="D99" t="str">
            <v>DESARROLLO PUBLICITARIO</v>
          </cell>
          <cell r="E99" t="str">
            <v>16/09/2024</v>
          </cell>
          <cell r="F99">
            <v>28</v>
          </cell>
          <cell r="G99" t="str">
            <v>LUCY PAOLA REYES CARDENAS</v>
          </cell>
          <cell r="H99" t="str">
            <v>MAT</v>
          </cell>
        </row>
        <row r="100">
          <cell r="A100">
            <v>3185928</v>
          </cell>
          <cell r="B100" t="str">
            <v>WILDER JULIAN ARIAS HERNANDEZ</v>
          </cell>
          <cell r="C100" t="str">
            <v>TECNOLOGO</v>
          </cell>
          <cell r="D100" t="str">
            <v>COORDINACION DE PROCESOS LOGISTICOS</v>
          </cell>
          <cell r="E100" t="str">
            <v>31/03/2025</v>
          </cell>
          <cell r="F100">
            <v>66</v>
          </cell>
          <cell r="G100" t="str">
            <v>EDGAR HERNANDO SANTANA ORDOÑEZ</v>
          </cell>
          <cell r="H100" t="str">
            <v>MAT</v>
          </cell>
        </row>
        <row r="101">
          <cell r="A101">
            <v>3185927</v>
          </cell>
          <cell r="B101" t="str">
            <v>WILDER JULIAN ARIAS HERNANDEZ</v>
          </cell>
          <cell r="C101" t="str">
            <v>TECNOLOGO</v>
          </cell>
          <cell r="D101" t="str">
            <v>COORDINACION DE PROCESOS LOGISTICOS</v>
          </cell>
          <cell r="E101" t="str">
            <v>31/03/2025</v>
          </cell>
          <cell r="F101">
            <v>62</v>
          </cell>
          <cell r="G101" t="str">
            <v>JESUS RENE BUITRAGO PEDRAZA</v>
          </cell>
          <cell r="H101" t="str">
            <v>MAT</v>
          </cell>
        </row>
        <row r="102">
          <cell r="A102">
            <v>3186305</v>
          </cell>
          <cell r="B102" t="str">
            <v>WILDER JULIAN ARIAS HERNANDEZ</v>
          </cell>
          <cell r="C102" t="str">
            <v>TECNICO</v>
          </cell>
          <cell r="D102" t="str">
            <v>SERVICIOS Y OPERACIONES MICROFINANCIERAS</v>
          </cell>
          <cell r="E102" t="str">
            <v>31/03/2025</v>
          </cell>
          <cell r="F102">
            <v>52</v>
          </cell>
          <cell r="G102" t="str">
            <v>YERSON ALVEIRO DUARTE VELASCO</v>
          </cell>
          <cell r="H102" t="str">
            <v>MAT</v>
          </cell>
        </row>
        <row r="103">
          <cell r="A103">
            <v>3070362</v>
          </cell>
          <cell r="B103" t="str">
            <v>WILDER JULIAN ARIAS HERNANDEZ</v>
          </cell>
          <cell r="C103" t="str">
            <v>TECNOLOGO</v>
          </cell>
          <cell r="D103" t="str">
            <v>DESARROLLO PUBLICITARIO</v>
          </cell>
          <cell r="E103" t="str">
            <v>16/09/2024</v>
          </cell>
          <cell r="F103">
            <v>32</v>
          </cell>
          <cell r="G103" t="str">
            <v>LUCY PAOLA REYES CARDENAS</v>
          </cell>
          <cell r="H103" t="str">
            <v>MAT</v>
          </cell>
        </row>
        <row r="104">
          <cell r="A104">
            <v>3186304</v>
          </cell>
          <cell r="B104" t="str">
            <v>WILDER JULIAN ARIAS HERNANDEZ</v>
          </cell>
          <cell r="C104" t="str">
            <v>TECNICO</v>
          </cell>
          <cell r="D104" t="str">
            <v>SERVICIOS Y OPERACIONES MICROFINANCIERAS</v>
          </cell>
          <cell r="E104" t="str">
            <v>31/03/2025</v>
          </cell>
          <cell r="F104">
            <v>73</v>
          </cell>
          <cell r="G104" t="str">
            <v>YERSON ALVEIRO DUARTE VELASCO</v>
          </cell>
          <cell r="H104" t="str">
            <v>MAT</v>
          </cell>
        </row>
        <row r="105">
          <cell r="A105">
            <v>3118511</v>
          </cell>
          <cell r="B105" t="str">
            <v>DEISY JULIETH GARCIA CASTAÑEDA</v>
          </cell>
          <cell r="C105" t="str">
            <v>TECNOLOGO</v>
          </cell>
          <cell r="D105" t="str">
            <v>DESARROLLO DE MEDIOS GRAFICOS VISUALES</v>
          </cell>
          <cell r="E105" t="str">
            <v>18/11/2024</v>
          </cell>
          <cell r="F105">
            <v>42</v>
          </cell>
          <cell r="G105" t="str">
            <v>JOHN JAIRO LEON MEZA</v>
          </cell>
          <cell r="H105" t="str">
            <v>SST</v>
          </cell>
        </row>
        <row r="106">
          <cell r="A106">
            <v>3118509</v>
          </cell>
          <cell r="B106" t="str">
            <v>DEISY JULIETH GARCIA CASTAÑEDA</v>
          </cell>
          <cell r="C106" t="str">
            <v>TECNOLOGO</v>
          </cell>
          <cell r="D106" t="str">
            <v>DESARROLLO DE MEDIOS GRAFICOS VISUALES</v>
          </cell>
          <cell r="E106" t="str">
            <v>18/11/2024</v>
          </cell>
          <cell r="F106">
            <v>40</v>
          </cell>
          <cell r="G106" t="str">
            <v>WANDA POSADA PAZ</v>
          </cell>
          <cell r="H106" t="str">
            <v>SST</v>
          </cell>
        </row>
        <row r="107">
          <cell r="A107">
            <v>2977744</v>
          </cell>
          <cell r="B107" t="str">
            <v>DEISY JULIETH GARCIA CASTAÑEDA</v>
          </cell>
          <cell r="C107" t="str">
            <v>TECNOLOGO</v>
          </cell>
          <cell r="D107" t="str">
            <v>COORDINACION DE PROCESOS LOGISTICOS</v>
          </cell>
          <cell r="E107" t="str">
            <v>14/05/2024</v>
          </cell>
          <cell r="F107">
            <v>36</v>
          </cell>
          <cell r="G107" t="str">
            <v>JUAN CAMILO BOHORQUEZ RODRIGUEZ</v>
          </cell>
          <cell r="H107" t="str">
            <v>SST</v>
          </cell>
        </row>
        <row r="108">
          <cell r="A108">
            <v>3070317</v>
          </cell>
          <cell r="B108" t="str">
            <v>DEISY JULIETH GARCIA CASTAÑEDA</v>
          </cell>
          <cell r="C108" t="str">
            <v>TECNOLOGO</v>
          </cell>
          <cell r="D108" t="str">
            <v>ANALISIS Y DESARROLLO DE SOFTWARE</v>
          </cell>
          <cell r="E108" t="str">
            <v>16/09/2024</v>
          </cell>
          <cell r="F108">
            <v>36</v>
          </cell>
          <cell r="G108" t="str">
            <v>CAMILO ERNESTO PARRA LOPEZ</v>
          </cell>
          <cell r="H108" t="str">
            <v>SST</v>
          </cell>
        </row>
        <row r="109">
          <cell r="A109">
            <v>3118515</v>
          </cell>
          <cell r="B109" t="str">
            <v>DEISY JULIETH GARCIA CASTAÑEDA</v>
          </cell>
          <cell r="C109" t="str">
            <v>TECNOLOGO</v>
          </cell>
          <cell r="D109" t="str">
            <v>DESARROLLO DE MEDIOS GRAFICOS VISUALES</v>
          </cell>
          <cell r="E109" t="str">
            <v>18/11/2024</v>
          </cell>
          <cell r="F109">
            <v>35</v>
          </cell>
          <cell r="G109" t="str">
            <v>VIVIANA MARCELA AGUDELO GARCIA</v>
          </cell>
          <cell r="H109" t="str">
            <v>SST</v>
          </cell>
        </row>
        <row r="110">
          <cell r="A110">
            <v>3118513</v>
          </cell>
          <cell r="B110" t="str">
            <v>JORGE IVAN PEREZ GAITAN</v>
          </cell>
          <cell r="C110" t="str">
            <v>TECNOLOGO</v>
          </cell>
          <cell r="D110" t="str">
            <v>DESARROLLO DE MEDIOS GRAFICOS VISUALES</v>
          </cell>
          <cell r="E110" t="str">
            <v>18/11/2024</v>
          </cell>
          <cell r="F110">
            <v>42</v>
          </cell>
          <cell r="G110" t="str">
            <v>VIVIANA MARCELA AGUDELO GARCIA</v>
          </cell>
          <cell r="H110" t="str">
            <v>SST</v>
          </cell>
        </row>
        <row r="111">
          <cell r="A111">
            <v>3070315</v>
          </cell>
          <cell r="B111" t="str">
            <v>JORGE IVAN PEREZ GAITAN</v>
          </cell>
          <cell r="C111" t="str">
            <v>TECNOLOGO</v>
          </cell>
          <cell r="D111" t="str">
            <v>ANALISIS Y DESARROLLO DE SOFTWARE</v>
          </cell>
          <cell r="E111" t="str">
            <v>16/09/2024</v>
          </cell>
          <cell r="F111">
            <v>38</v>
          </cell>
          <cell r="G111" t="str">
            <v>DAVID EDUARDO LEON</v>
          </cell>
          <cell r="H111" t="str">
            <v>SST</v>
          </cell>
        </row>
        <row r="112">
          <cell r="A112">
            <v>3070341</v>
          </cell>
          <cell r="B112" t="str">
            <v>JORGE IVAN PEREZ GAITAN</v>
          </cell>
          <cell r="C112" t="str">
            <v>TECNOLOGO</v>
          </cell>
          <cell r="D112" t="str">
            <v>COORDINACION DE PROCESOS LOGISTICOS</v>
          </cell>
          <cell r="E112" t="str">
            <v>16/09/2024</v>
          </cell>
          <cell r="F112">
            <v>38</v>
          </cell>
          <cell r="G112" t="str">
            <v>DANIELA ALEXANDRA MARTINEZ MARTIN</v>
          </cell>
          <cell r="H112" t="str">
            <v>SST</v>
          </cell>
        </row>
        <row r="113">
          <cell r="A113">
            <v>3070316</v>
          </cell>
          <cell r="B113" t="str">
            <v>JORGE IVAN PEREZ GAITAN</v>
          </cell>
          <cell r="C113" t="str">
            <v>TECNOLOGO</v>
          </cell>
          <cell r="D113" t="str">
            <v>ANALISIS Y DESARROLLO DE SOFTWARE</v>
          </cell>
          <cell r="E113" t="str">
            <v>16/09/2024</v>
          </cell>
          <cell r="F113">
            <v>35</v>
          </cell>
          <cell r="G113" t="str">
            <v>CAMILO ERNESTO PARRA LOPEZ</v>
          </cell>
          <cell r="H113" t="str">
            <v>SST</v>
          </cell>
        </row>
        <row r="114">
          <cell r="A114">
            <v>3070320</v>
          </cell>
          <cell r="B114" t="str">
            <v>JORGE IVAN PEREZ GAITAN</v>
          </cell>
          <cell r="C114" t="str">
            <v>TECNOLOGO</v>
          </cell>
          <cell r="D114" t="str">
            <v>ANALISIS Y DESARROLLO DE SOFTWARE</v>
          </cell>
          <cell r="E114" t="str">
            <v>16/09/2024</v>
          </cell>
          <cell r="F114">
            <v>35</v>
          </cell>
          <cell r="G114" t="str">
            <v>CAMILO ERNESTO PARRA LOPEZ</v>
          </cell>
          <cell r="H114" t="str">
            <v>SST</v>
          </cell>
        </row>
        <row r="115">
          <cell r="A115">
            <v>2977743</v>
          </cell>
          <cell r="B115" t="str">
            <v>JORGE IVAN PEREZ GAITAN</v>
          </cell>
          <cell r="C115" t="str">
            <v>TECNOLOGO</v>
          </cell>
          <cell r="D115" t="str">
            <v>COORDINACION DE PROCESOS LOGISTICOS</v>
          </cell>
          <cell r="E115" t="str">
            <v>14/05/2024</v>
          </cell>
          <cell r="F115">
            <v>33</v>
          </cell>
          <cell r="G115" t="str">
            <v>JUAN CAMILO BOHORQUEZ RODRIGUEZ</v>
          </cell>
          <cell r="H115" t="str">
            <v>SST</v>
          </cell>
        </row>
        <row r="116">
          <cell r="A116">
            <v>3070338</v>
          </cell>
          <cell r="B116" t="str">
            <v>JORGE IVAN PEREZ GAITAN</v>
          </cell>
          <cell r="C116" t="str">
            <v>TECNOLOGO</v>
          </cell>
          <cell r="D116" t="str">
            <v>COORDINACION DE PROCESOS LOGISTICOS</v>
          </cell>
          <cell r="E116" t="str">
            <v>16/09/2024</v>
          </cell>
          <cell r="F116">
            <v>34</v>
          </cell>
          <cell r="G116" t="str">
            <v>JAVIER GERARDO VIVAS PRIETO</v>
          </cell>
          <cell r="H116" t="str">
            <v>SST</v>
          </cell>
        </row>
        <row r="117">
          <cell r="A117">
            <v>3236532</v>
          </cell>
          <cell r="B117" t="str">
            <v>MARINELLA DIAZ ACOSTA</v>
          </cell>
          <cell r="C117" t="str">
            <v>TECNOLOGO</v>
          </cell>
          <cell r="D117" t="str">
            <v>DESARROLLO MULTIMEDIA Y WEB</v>
          </cell>
          <cell r="E117" t="str">
            <v>03/06/2025</v>
          </cell>
          <cell r="F117">
            <v>51</v>
          </cell>
          <cell r="G117" t="str">
            <v>HELDA MARINA SEPULVEDA VEGA</v>
          </cell>
          <cell r="H117" t="str">
            <v>SST</v>
          </cell>
        </row>
        <row r="118">
          <cell r="A118">
            <v>3118514</v>
          </cell>
          <cell r="B118" t="str">
            <v>MARINELLA DIAZ ACOSTA</v>
          </cell>
          <cell r="C118" t="str">
            <v>TECNOLOGO</v>
          </cell>
          <cell r="D118" t="str">
            <v>DESARROLLO DE MEDIOS GRAFICOS VISUALES</v>
          </cell>
          <cell r="E118" t="str">
            <v>18/11/2024</v>
          </cell>
          <cell r="F118">
            <v>43</v>
          </cell>
          <cell r="G118" t="str">
            <v>VIVIANA MARCELA AGUDELO GARCIA</v>
          </cell>
          <cell r="H118" t="str">
            <v>SST</v>
          </cell>
        </row>
        <row r="119">
          <cell r="A119">
            <v>3118510</v>
          </cell>
          <cell r="B119" t="str">
            <v>MARINELLA DIAZ ACOSTA</v>
          </cell>
          <cell r="C119" t="str">
            <v>TECNOLOGO</v>
          </cell>
          <cell r="D119" t="str">
            <v>DESARROLLO DE MEDIOS GRAFICOS VISUALES</v>
          </cell>
          <cell r="E119" t="str">
            <v>18/11/2024</v>
          </cell>
          <cell r="F119">
            <v>41</v>
          </cell>
          <cell r="G119" t="str">
            <v>JOHN JAIRO LEON MEZA</v>
          </cell>
          <cell r="H119" t="str">
            <v>SST</v>
          </cell>
        </row>
        <row r="120">
          <cell r="A120">
            <v>3118512</v>
          </cell>
          <cell r="B120" t="str">
            <v>MARINELLA DIAZ ACOSTA</v>
          </cell>
          <cell r="C120" t="str">
            <v>TECNOLOGO</v>
          </cell>
          <cell r="D120" t="str">
            <v>DESARROLLO DE MEDIOS GRAFICOS VISUALES</v>
          </cell>
          <cell r="E120" t="str">
            <v>18/11/2024</v>
          </cell>
          <cell r="F120">
            <v>38</v>
          </cell>
          <cell r="G120" t="str">
            <v>JOHN JAIRO LEON MEZA</v>
          </cell>
          <cell r="H120" t="str">
            <v>SST</v>
          </cell>
        </row>
        <row r="121">
          <cell r="A121">
            <v>3070319</v>
          </cell>
          <cell r="B121" t="str">
            <v>MARINELLA DIAZ ACOSTA</v>
          </cell>
          <cell r="C121" t="str">
            <v>TECNOLOGO</v>
          </cell>
          <cell r="D121" t="str">
            <v>ANALISIS Y DESARROLLO DE SOFTWARE</v>
          </cell>
          <cell r="E121" t="str">
            <v>16/09/2024</v>
          </cell>
          <cell r="F121">
            <v>35</v>
          </cell>
          <cell r="G121" t="str">
            <v>CAMILO ERNESTO PARRA LOPEZ</v>
          </cell>
          <cell r="H121" t="str">
            <v>SST</v>
          </cell>
        </row>
        <row r="122">
          <cell r="A122">
            <v>3334496</v>
          </cell>
          <cell r="B122" t="str">
            <v>ANGELICA JANETH RODRIGUEZ ALONSO</v>
          </cell>
          <cell r="C122" t="str">
            <v>TECNICO</v>
          </cell>
          <cell r="D122" t="str">
            <v>OPERACIONES COMERCIALES EN RETAIL</v>
          </cell>
          <cell r="E122" t="str">
            <v>15/09/2025</v>
          </cell>
          <cell r="F122">
            <v>74</v>
          </cell>
          <cell r="G122" t="str">
            <v>LUZ MERY ROZO GUTIERREZ</v>
          </cell>
          <cell r="H122" t="str">
            <v>TIC</v>
          </cell>
        </row>
        <row r="123">
          <cell r="A123">
            <v>3336179</v>
          </cell>
          <cell r="B123" t="str">
            <v>ANGELICA JANETH RODRIGUEZ ALONSO</v>
          </cell>
          <cell r="C123" t="str">
            <v>TECNOLOGO</v>
          </cell>
          <cell r="D123" t="str">
            <v>ANALISIS Y DESARROLLO DE SOFTWARE</v>
          </cell>
          <cell r="E123" t="str">
            <v>29/09/2025</v>
          </cell>
          <cell r="F123">
            <v>50</v>
          </cell>
          <cell r="G123" t="str">
            <v>GUSTAVO ADOLFO CHACON</v>
          </cell>
          <cell r="H123" t="str">
            <v>TIC</v>
          </cell>
        </row>
        <row r="124">
          <cell r="A124">
            <v>3336175</v>
          </cell>
          <cell r="B124" t="str">
            <v>ANGELICA JANETH RODRIGUEZ ALONSO</v>
          </cell>
          <cell r="C124" t="str">
            <v>TECNOLOGO</v>
          </cell>
          <cell r="D124" t="str">
            <v>ANALISIS Y DESARROLLO DE SOFTWARE</v>
          </cell>
          <cell r="E124" t="str">
            <v>29/09/2025</v>
          </cell>
          <cell r="F124">
            <v>48</v>
          </cell>
          <cell r="G124" t="str">
            <v>GUSTAVO ADOLFO MARUN SUAREZ</v>
          </cell>
          <cell r="H124" t="str">
            <v>TIC</v>
          </cell>
        </row>
        <row r="125">
          <cell r="A125">
            <v>3336183</v>
          </cell>
          <cell r="B125" t="str">
            <v>ANGELICA JANETH RODRIGUEZ ALONSO</v>
          </cell>
          <cell r="C125" t="str">
            <v>TECNOLOGO</v>
          </cell>
          <cell r="D125" t="str">
            <v>ANALISIS Y DESARROLLO DE SOFTWARE</v>
          </cell>
          <cell r="E125" t="str">
            <v>29/09/2025</v>
          </cell>
          <cell r="F125">
            <v>47</v>
          </cell>
          <cell r="G125" t="str">
            <v>JUAN CARLOS GUERRERO MALDONADO</v>
          </cell>
          <cell r="H125" t="str">
            <v>TIC</v>
          </cell>
        </row>
        <row r="126">
          <cell r="A126">
            <v>3336178</v>
          </cell>
          <cell r="B126" t="str">
            <v>ANGELICA JANETH RODRIGUEZ ALONSO</v>
          </cell>
          <cell r="C126" t="str">
            <v>TECNOLOGO</v>
          </cell>
          <cell r="D126" t="str">
            <v>ANALISIS Y DESARROLLO DE SOFTWARE</v>
          </cell>
          <cell r="E126" t="str">
            <v>29/09/2025</v>
          </cell>
          <cell r="F126">
            <v>42</v>
          </cell>
          <cell r="G126" t="str">
            <v>GUSTAVO ADOLFO MARUN SUAREZ</v>
          </cell>
          <cell r="H126" t="str">
            <v>TIC</v>
          </cell>
        </row>
        <row r="127">
          <cell r="A127">
            <v>3297708</v>
          </cell>
          <cell r="B127" t="str">
            <v>CRISTINA CASTAÑO CASTILLO</v>
          </cell>
          <cell r="C127" t="str">
            <v>TECNICO</v>
          </cell>
          <cell r="D127" t="str">
            <v>OPERACIONES COMERCIALES EN RETAIL</v>
          </cell>
          <cell r="E127" t="str">
            <v>25/09/2025</v>
          </cell>
          <cell r="F127">
            <v>70</v>
          </cell>
          <cell r="G127" t="str">
            <v>LUZ MERY ROZO GUTIERREZ</v>
          </cell>
          <cell r="H127" t="str">
            <v>TIC</v>
          </cell>
        </row>
        <row r="128">
          <cell r="A128">
            <v>3336181</v>
          </cell>
          <cell r="B128" t="str">
            <v>CRISTINA CASTAÑO CASTILLO</v>
          </cell>
          <cell r="C128" t="str">
            <v>TECNOLOGO</v>
          </cell>
          <cell r="D128" t="str">
            <v>ANALISIS Y DESARROLLO DE SOFTWARE</v>
          </cell>
          <cell r="E128" t="str">
            <v>29/09/2025</v>
          </cell>
          <cell r="F128">
            <v>51</v>
          </cell>
          <cell r="G128" t="str">
            <v>JUAN CARLOS GUERRERO MALDONADO</v>
          </cell>
          <cell r="H128" t="str">
            <v>TIC</v>
          </cell>
        </row>
        <row r="129">
          <cell r="A129">
            <v>3336172</v>
          </cell>
          <cell r="B129" t="str">
            <v>CRISTINA CASTAÑO CASTILLO</v>
          </cell>
          <cell r="C129" t="str">
            <v>TECNOLOGO</v>
          </cell>
          <cell r="D129" t="str">
            <v>ANALISIS Y DESARROLLO DE SOFTWARE</v>
          </cell>
          <cell r="E129" t="str">
            <v>29/09/2025</v>
          </cell>
          <cell r="F129">
            <v>48</v>
          </cell>
          <cell r="G129" t="str">
            <v>GUSTAVO ADOLFO MARUN SUAREZ</v>
          </cell>
          <cell r="H129" t="str">
            <v>TIC</v>
          </cell>
        </row>
        <row r="130">
          <cell r="A130">
            <v>3336182</v>
          </cell>
          <cell r="B130" t="str">
            <v>CRISTINA CASTAÑO CASTILLO</v>
          </cell>
          <cell r="C130" t="str">
            <v>TECNOLOGO</v>
          </cell>
          <cell r="D130" t="str">
            <v>ANALISIS Y DESARROLLO DE SOFTWARE</v>
          </cell>
          <cell r="E130" t="str">
            <v>29/09/2025</v>
          </cell>
          <cell r="F130">
            <v>47</v>
          </cell>
          <cell r="G130" t="str">
            <v>ALEX EDUARDO ZAMBRANO PEREZ</v>
          </cell>
          <cell r="H130" t="str">
            <v>TIC</v>
          </cell>
        </row>
        <row r="131">
          <cell r="A131">
            <v>3336285</v>
          </cell>
          <cell r="B131" t="str">
            <v>CRISTINA CASTAÑO CASTILLO</v>
          </cell>
          <cell r="C131" t="str">
            <v>TECNICO</v>
          </cell>
          <cell r="D131" t="str">
            <v>ASESORIA COMERCIAL</v>
          </cell>
          <cell r="E131" t="str">
            <v>29/09/2025</v>
          </cell>
          <cell r="F131">
            <v>56</v>
          </cell>
          <cell r="G131" t="str">
            <v>KEBIN CUESTA RENTERIA</v>
          </cell>
          <cell r="H131" t="str">
            <v>TIC</v>
          </cell>
        </row>
        <row r="132">
          <cell r="A132">
            <v>3336176</v>
          </cell>
          <cell r="B132" t="str">
            <v>ERICK RUIZ NOREÑA</v>
          </cell>
          <cell r="C132" t="str">
            <v>TECNOLOGO</v>
          </cell>
          <cell r="D132" t="str">
            <v>ANALISIS Y DESARROLLO DE SOFTWARE</v>
          </cell>
          <cell r="E132" t="str">
            <v>29/09/2025</v>
          </cell>
          <cell r="F132">
            <v>58</v>
          </cell>
          <cell r="G132" t="str">
            <v>GUSTAVO ADOLFO MARUN SUAREZ</v>
          </cell>
          <cell r="H132" t="str">
            <v>TIC</v>
          </cell>
        </row>
        <row r="133">
          <cell r="A133">
            <v>3336174</v>
          </cell>
          <cell r="B133" t="str">
            <v>ERICK RUIZ NOREÑA</v>
          </cell>
          <cell r="C133" t="str">
            <v>TECNOLOGO</v>
          </cell>
          <cell r="D133" t="str">
            <v>ANALISIS Y DESARROLLO DE SOFTWARE</v>
          </cell>
          <cell r="E133" t="str">
            <v>29/09/2025</v>
          </cell>
          <cell r="F133">
            <v>51</v>
          </cell>
          <cell r="G133" t="str">
            <v>EDUER PABON MORALES</v>
          </cell>
          <cell r="H133" t="str">
            <v>TIC</v>
          </cell>
        </row>
        <row r="134">
          <cell r="A134">
            <v>3336169</v>
          </cell>
          <cell r="B134" t="str">
            <v>ERICK RUIZ NOREÑA</v>
          </cell>
          <cell r="C134" t="str">
            <v>TECNOLOGO</v>
          </cell>
          <cell r="D134" t="str">
            <v>ANALISIS Y DESARROLLO DE SOFTWARE</v>
          </cell>
          <cell r="E134" t="str">
            <v>29/09/2025</v>
          </cell>
          <cell r="F134">
            <v>49</v>
          </cell>
          <cell r="G134" t="str">
            <v>ALEX EDUARDO ZAMBRANO PEREZ</v>
          </cell>
          <cell r="H134" t="str">
            <v>TIC</v>
          </cell>
        </row>
        <row r="135">
          <cell r="A135">
            <v>3336180</v>
          </cell>
          <cell r="B135" t="str">
            <v>ERICK RUIZ NOREÑA</v>
          </cell>
          <cell r="C135" t="str">
            <v>TECNOLOGO</v>
          </cell>
          <cell r="D135" t="str">
            <v>ANALISIS Y DESARROLLO DE SOFTWARE</v>
          </cell>
          <cell r="E135" t="str">
            <v>29/09/2025</v>
          </cell>
          <cell r="F135">
            <v>48</v>
          </cell>
          <cell r="G135" t="str">
            <v>ANDRES RUBIANO CUCARIAN</v>
          </cell>
          <cell r="H135" t="str">
            <v>TIC</v>
          </cell>
        </row>
        <row r="136">
          <cell r="A136">
            <v>3336288</v>
          </cell>
          <cell r="B136" t="str">
            <v>ERICK RUIZ NOREÑA</v>
          </cell>
          <cell r="C136" t="str">
            <v>TECNICO</v>
          </cell>
          <cell r="D136" t="str">
            <v>ASESORIA COMERCIAL</v>
          </cell>
          <cell r="E136" t="str">
            <v>29/09/2025</v>
          </cell>
          <cell r="F136">
            <v>44</v>
          </cell>
          <cell r="G136" t="str">
            <v>KEBIN CUESTA RENTERIA</v>
          </cell>
          <cell r="H136" t="str">
            <v>TIC</v>
          </cell>
        </row>
        <row r="137">
          <cell r="A137">
            <v>3336287</v>
          </cell>
          <cell r="B137" t="str">
            <v>ERICK RUIZ NOREÑA</v>
          </cell>
          <cell r="C137" t="str">
            <v>TECNICO</v>
          </cell>
          <cell r="D137" t="str">
            <v>ASESORIA COMERCIAL</v>
          </cell>
          <cell r="E137" t="str">
            <v>29/09/2025</v>
          </cell>
          <cell r="F137">
            <v>40</v>
          </cell>
          <cell r="G137" t="str">
            <v>KEBIN CUESTA RENTERIA</v>
          </cell>
          <cell r="H137" t="str">
            <v>TIC</v>
          </cell>
        </row>
        <row r="138">
          <cell r="A138">
            <v>3336171</v>
          </cell>
          <cell r="B138" t="str">
            <v>SONIA PATRICIA CASTAÑEDA CAYCEDO</v>
          </cell>
          <cell r="C138" t="str">
            <v>TECNOLOGO</v>
          </cell>
          <cell r="D138" t="str">
            <v>ANALISIS Y DESARROLLO DE SOFTWARE</v>
          </cell>
          <cell r="E138" t="str">
            <v>29/09/2025</v>
          </cell>
          <cell r="F138">
            <v>55</v>
          </cell>
          <cell r="G138" t="str">
            <v>ANDRES RUBIANO CUCARIAN</v>
          </cell>
          <cell r="H138" t="str">
            <v>TIC</v>
          </cell>
        </row>
        <row r="139">
          <cell r="A139">
            <v>3336173</v>
          </cell>
          <cell r="B139" t="str">
            <v>SONIA PATRICIA CASTAÑEDA CAYCEDO</v>
          </cell>
          <cell r="C139" t="str">
            <v>TECNOLOGO</v>
          </cell>
          <cell r="D139" t="str">
            <v>ANALISIS Y DESARROLLO DE SOFTWARE</v>
          </cell>
          <cell r="E139" t="str">
            <v>29/09/2025</v>
          </cell>
          <cell r="F139">
            <v>49</v>
          </cell>
          <cell r="G139" t="str">
            <v>JUAN CARLOS GUERRERO MALDONADO</v>
          </cell>
          <cell r="H139" t="str">
            <v>TIC</v>
          </cell>
        </row>
        <row r="140">
          <cell r="A140">
            <v>3336184</v>
          </cell>
          <cell r="B140" t="str">
            <v>SONIA PATRICIA CASTAÑEDA CAYCEDO</v>
          </cell>
          <cell r="C140" t="str">
            <v>TECNOLOGO</v>
          </cell>
          <cell r="D140" t="str">
            <v>ANALISIS Y DESARROLLO DE SOFTWARE</v>
          </cell>
          <cell r="E140" t="str">
            <v>29/09/2025</v>
          </cell>
          <cell r="F140">
            <v>48</v>
          </cell>
          <cell r="G140" t="str">
            <v>EDUER PABON MORALES</v>
          </cell>
          <cell r="H140" t="str">
            <v>TIC</v>
          </cell>
        </row>
        <row r="141">
          <cell r="A141">
            <v>3336286</v>
          </cell>
          <cell r="B141" t="str">
            <v>SONIA PATRICIA CASTAÑEDA CAYCEDO</v>
          </cell>
          <cell r="C141" t="str">
            <v>TECNICO</v>
          </cell>
          <cell r="D141" t="str">
            <v>ASESORIA COMERCIAL</v>
          </cell>
          <cell r="E141" t="str">
            <v>29/09/2025</v>
          </cell>
          <cell r="F141">
            <v>43</v>
          </cell>
          <cell r="G141" t="str">
            <v>FRANKELI RODRIGUEZ VELASCO</v>
          </cell>
          <cell r="H141" t="str">
            <v>TIC</v>
          </cell>
        </row>
        <row r="142">
          <cell r="A142">
            <v>3336170</v>
          </cell>
          <cell r="B142" t="str">
            <v>SONIA PATRICIA CASTAÑEDA CAYCEDO</v>
          </cell>
          <cell r="C142" t="str">
            <v>TECNOLOGO</v>
          </cell>
          <cell r="D142" t="str">
            <v>ANALISIS Y DESARROLLO DE SOFTWARE</v>
          </cell>
          <cell r="E142" t="str">
            <v>29/09/2025</v>
          </cell>
          <cell r="F142">
            <v>40</v>
          </cell>
          <cell r="G142" t="str">
            <v>GUSTAVO ADOLFO CHACON</v>
          </cell>
          <cell r="H142" t="str">
            <v>TIC</v>
          </cell>
        </row>
        <row r="143">
          <cell r="A143">
            <v>3336177</v>
          </cell>
          <cell r="B143" t="str">
            <v>SONIA PATRICIA CASTAÑEDA CAYCEDO</v>
          </cell>
          <cell r="C143" t="str">
            <v>TECNOLOGO</v>
          </cell>
          <cell r="D143" t="str">
            <v>ANALISIS Y DESARROLLO DE SOFTWARE</v>
          </cell>
          <cell r="E143" t="str">
            <v>29/09/2025</v>
          </cell>
          <cell r="F143">
            <v>42</v>
          </cell>
          <cell r="G143" t="str">
            <v>JUAN CARLOS GUERRERO MALDONADO</v>
          </cell>
          <cell r="H143" t="str">
            <v>TIC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os"/>
      <sheetName val="tecnicos"/>
      <sheetName val="bilinguismo"/>
      <sheetName val="Detalle1"/>
      <sheetName val="Detalle2"/>
      <sheetName val="transversales"/>
      <sheetName val="fichas"/>
      <sheetName val="viejas"/>
      <sheetName val="actuales"/>
      <sheetName val="Hoja4"/>
      <sheetName val="Hoja2"/>
      <sheetName val="Hoja1"/>
      <sheetName val="6to25"/>
      <sheetName val="7mo25"/>
      <sheetName val="8vo25"/>
      <sheetName val="detallado"/>
      <sheetName val="Hoja3"/>
      <sheetName val="1er25"/>
      <sheetName val="2do25"/>
      <sheetName val="3er25"/>
      <sheetName val="4to25"/>
      <sheetName val="5to25"/>
      <sheetName val="1er"/>
      <sheetName val="2do"/>
      <sheetName val="3er"/>
      <sheetName val="4to"/>
      <sheetName val="5to"/>
      <sheetName val="6to"/>
      <sheetName val="7mo"/>
      <sheetName val="8vo"/>
      <sheetName val="9no"/>
      <sheetName val="10mo"/>
      <sheetName val="periodos"/>
      <sheetName val="ins trans"/>
      <sheetName val="comxpro"/>
      <sheetName val="P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>
            <v>3236062</v>
          </cell>
          <cell r="B2" t="str">
            <v>BIL</v>
          </cell>
        </row>
        <row r="3">
          <cell r="A3">
            <v>3236103</v>
          </cell>
          <cell r="B3" t="str">
            <v>BIL</v>
          </cell>
        </row>
        <row r="4">
          <cell r="A4">
            <v>3236104</v>
          </cell>
          <cell r="B4" t="str">
            <v>BIL</v>
          </cell>
        </row>
        <row r="5">
          <cell r="A5">
            <v>3236532</v>
          </cell>
          <cell r="B5" t="str">
            <v>BIL</v>
          </cell>
        </row>
        <row r="6">
          <cell r="A6">
            <v>3070318</v>
          </cell>
          <cell r="B6" t="str">
            <v>BIL</v>
          </cell>
        </row>
        <row r="7">
          <cell r="A7">
            <v>3070319</v>
          </cell>
          <cell r="B7" t="str">
            <v>BIL</v>
          </cell>
        </row>
        <row r="8">
          <cell r="A8">
            <v>3186281</v>
          </cell>
          <cell r="B8" t="str">
            <v>BIL</v>
          </cell>
        </row>
        <row r="9">
          <cell r="A9">
            <v>3186282</v>
          </cell>
          <cell r="B9" t="str">
            <v>BIL</v>
          </cell>
        </row>
        <row r="10">
          <cell r="A10">
            <v>3186283</v>
          </cell>
          <cell r="B10" t="str">
            <v>BIL</v>
          </cell>
        </row>
        <row r="11">
          <cell r="A11">
            <v>3186284</v>
          </cell>
          <cell r="B11" t="str">
            <v>BIL</v>
          </cell>
        </row>
        <row r="12">
          <cell r="A12">
            <v>3070320</v>
          </cell>
          <cell r="B12" t="str">
            <v>BIL</v>
          </cell>
        </row>
        <row r="13">
          <cell r="A13">
            <v>3070321</v>
          </cell>
          <cell r="B13" t="str">
            <v>BIL</v>
          </cell>
        </row>
        <row r="14">
          <cell r="A14">
            <v>3070324</v>
          </cell>
          <cell r="B14" t="str">
            <v>BIL</v>
          </cell>
        </row>
        <row r="15">
          <cell r="A15">
            <v>3070325</v>
          </cell>
          <cell r="B15" t="str">
            <v>BIL</v>
          </cell>
        </row>
        <row r="16">
          <cell r="A16">
            <v>3070326</v>
          </cell>
          <cell r="B16" t="str">
            <v>BIL</v>
          </cell>
        </row>
        <row r="17">
          <cell r="A17">
            <v>3118374</v>
          </cell>
          <cell r="B17" t="str">
            <v>BIL</v>
          </cell>
        </row>
        <row r="18">
          <cell r="A18">
            <v>3118500</v>
          </cell>
          <cell r="B18" t="str">
            <v>BIL</v>
          </cell>
        </row>
        <row r="19">
          <cell r="A19">
            <v>3118501</v>
          </cell>
          <cell r="B19" t="str">
            <v>BIL</v>
          </cell>
        </row>
        <row r="20">
          <cell r="A20">
            <v>3118502</v>
          </cell>
          <cell r="B20" t="str">
            <v>BIL</v>
          </cell>
        </row>
        <row r="21">
          <cell r="A21">
            <v>3118503</v>
          </cell>
          <cell r="B21" t="str">
            <v>BIL</v>
          </cell>
        </row>
        <row r="22">
          <cell r="A22">
            <v>3118504</v>
          </cell>
          <cell r="B22" t="str">
            <v>BIL</v>
          </cell>
        </row>
        <row r="23">
          <cell r="A23">
            <v>3118505</v>
          </cell>
          <cell r="B23" t="str">
            <v>BIL</v>
          </cell>
        </row>
        <row r="24">
          <cell r="A24">
            <v>3118506</v>
          </cell>
          <cell r="B24" t="str">
            <v>BIL</v>
          </cell>
        </row>
        <row r="25">
          <cell r="A25">
            <v>3118507</v>
          </cell>
          <cell r="B25" t="str">
            <v>BIL</v>
          </cell>
        </row>
        <row r="26">
          <cell r="A26">
            <v>3186303</v>
          </cell>
          <cell r="B26" t="str">
            <v>BIL</v>
          </cell>
        </row>
        <row r="27">
          <cell r="A27">
            <v>3186304</v>
          </cell>
          <cell r="B27" t="str">
            <v>BIL</v>
          </cell>
        </row>
        <row r="28">
          <cell r="A28">
            <v>3186305</v>
          </cell>
          <cell r="B28" t="str">
            <v>BIL</v>
          </cell>
        </row>
        <row r="29">
          <cell r="A29">
            <v>3287439</v>
          </cell>
          <cell r="B29" t="str">
            <v>BIL</v>
          </cell>
        </row>
        <row r="30">
          <cell r="A30">
            <v>3070339</v>
          </cell>
          <cell r="B30" t="str">
            <v>BIL</v>
          </cell>
        </row>
        <row r="31">
          <cell r="A31">
            <v>3070340</v>
          </cell>
          <cell r="B31" t="str">
            <v>BIL</v>
          </cell>
        </row>
        <row r="32">
          <cell r="A32">
            <v>3070341</v>
          </cell>
          <cell r="B32" t="str">
            <v>BIL</v>
          </cell>
        </row>
        <row r="33">
          <cell r="A33">
            <v>3070342</v>
          </cell>
          <cell r="B33" t="str">
            <v>BIL</v>
          </cell>
        </row>
        <row r="34">
          <cell r="A34">
            <v>3070343</v>
          </cell>
          <cell r="B34" t="str">
            <v>BIL</v>
          </cell>
        </row>
        <row r="35">
          <cell r="A35">
            <v>3070344</v>
          </cell>
          <cell r="B35" t="str">
            <v>BIL</v>
          </cell>
        </row>
        <row r="36">
          <cell r="A36">
            <v>3070345</v>
          </cell>
          <cell r="B36" t="str">
            <v>BIL</v>
          </cell>
        </row>
        <row r="37">
          <cell r="A37">
            <v>3070348</v>
          </cell>
          <cell r="B37" t="str">
            <v>BIL</v>
          </cell>
        </row>
        <row r="38">
          <cell r="A38">
            <v>3070350</v>
          </cell>
          <cell r="B38" t="str">
            <v>BIL</v>
          </cell>
        </row>
        <row r="39">
          <cell r="A39">
            <v>3070351</v>
          </cell>
          <cell r="B39" t="str">
            <v>BIL</v>
          </cell>
        </row>
        <row r="40">
          <cell r="A40">
            <v>3070358</v>
          </cell>
          <cell r="B40" t="str">
            <v>BIL</v>
          </cell>
        </row>
        <row r="41">
          <cell r="A41">
            <v>3070360</v>
          </cell>
          <cell r="B41" t="str">
            <v>BIL</v>
          </cell>
        </row>
        <row r="42">
          <cell r="A42">
            <v>3070361</v>
          </cell>
          <cell r="B42" t="str">
            <v>BIL</v>
          </cell>
        </row>
        <row r="43">
          <cell r="A43">
            <v>3070362</v>
          </cell>
          <cell r="B43" t="str">
            <v>BIL</v>
          </cell>
        </row>
        <row r="44">
          <cell r="A44">
            <v>3070363</v>
          </cell>
          <cell r="B44" t="str">
            <v>BIL</v>
          </cell>
        </row>
        <row r="45">
          <cell r="A45">
            <v>3070364</v>
          </cell>
          <cell r="B45" t="str">
            <v>BIL</v>
          </cell>
        </row>
        <row r="46">
          <cell r="A46">
            <v>3167875</v>
          </cell>
          <cell r="B46" t="str">
            <v>BIL</v>
          </cell>
        </row>
        <row r="47">
          <cell r="A47">
            <v>3167876</v>
          </cell>
          <cell r="B47" t="str">
            <v>BIL</v>
          </cell>
        </row>
        <row r="48">
          <cell r="A48">
            <v>3167877</v>
          </cell>
          <cell r="B48" t="str">
            <v>BIL</v>
          </cell>
        </row>
        <row r="49">
          <cell r="A49">
            <v>3186305</v>
          </cell>
          <cell r="B49" t="str">
            <v>BIL</v>
          </cell>
        </row>
        <row r="50">
          <cell r="A50">
            <v>3186630</v>
          </cell>
          <cell r="B50" t="str">
            <v>BIL</v>
          </cell>
        </row>
        <row r="51">
          <cell r="A51">
            <v>3235889</v>
          </cell>
          <cell r="B51" t="str">
            <v>BIL</v>
          </cell>
        </row>
        <row r="52">
          <cell r="A52">
            <v>3235890</v>
          </cell>
          <cell r="B52" t="str">
            <v>BIL</v>
          </cell>
        </row>
        <row r="53">
          <cell r="A53">
            <v>3235891</v>
          </cell>
          <cell r="B53" t="str">
            <v>BIL</v>
          </cell>
        </row>
        <row r="54">
          <cell r="A54">
            <v>3235892</v>
          </cell>
          <cell r="B54" t="str">
            <v>BIL</v>
          </cell>
        </row>
        <row r="55">
          <cell r="A55">
            <v>2977750</v>
          </cell>
          <cell r="B55" t="str">
            <v>BIL</v>
          </cell>
        </row>
        <row r="56">
          <cell r="A56">
            <v>2977752</v>
          </cell>
          <cell r="B56" t="str">
            <v>BIL</v>
          </cell>
        </row>
        <row r="57">
          <cell r="A57">
            <v>2995652</v>
          </cell>
          <cell r="B57" t="str">
            <v>BIL</v>
          </cell>
        </row>
        <row r="58">
          <cell r="A58">
            <v>3070314</v>
          </cell>
          <cell r="B58" t="str">
            <v>BIL</v>
          </cell>
        </row>
        <row r="59">
          <cell r="A59">
            <v>3070315</v>
          </cell>
          <cell r="B59" t="str">
            <v>BIL</v>
          </cell>
        </row>
        <row r="60">
          <cell r="A60">
            <v>3134550</v>
          </cell>
          <cell r="B60" t="str">
            <v>BIL</v>
          </cell>
        </row>
        <row r="61">
          <cell r="A61">
            <v>3134621</v>
          </cell>
          <cell r="B61" t="str">
            <v>BIL</v>
          </cell>
        </row>
        <row r="62">
          <cell r="A62">
            <v>3134622</v>
          </cell>
          <cell r="B62" t="str">
            <v>BIL</v>
          </cell>
        </row>
        <row r="63">
          <cell r="A63">
            <v>3134623</v>
          </cell>
          <cell r="B63" t="str">
            <v>BIL</v>
          </cell>
        </row>
        <row r="64">
          <cell r="A64">
            <v>3186207</v>
          </cell>
          <cell r="B64" t="str">
            <v>BIL</v>
          </cell>
        </row>
        <row r="65">
          <cell r="A65">
            <v>3186220</v>
          </cell>
          <cell r="B65" t="str">
            <v>BIL</v>
          </cell>
        </row>
        <row r="66">
          <cell r="A66">
            <v>3186221</v>
          </cell>
          <cell r="B66" t="str">
            <v>BIL</v>
          </cell>
        </row>
        <row r="67">
          <cell r="A67">
            <v>3186222</v>
          </cell>
          <cell r="B67" t="str">
            <v>BIL</v>
          </cell>
        </row>
        <row r="68">
          <cell r="A68">
            <v>3070296</v>
          </cell>
          <cell r="B68" t="str">
            <v>BIL</v>
          </cell>
        </row>
        <row r="69">
          <cell r="A69">
            <v>3070313</v>
          </cell>
          <cell r="B69" t="str">
            <v>BIL</v>
          </cell>
        </row>
        <row r="70">
          <cell r="A70">
            <v>3070334</v>
          </cell>
          <cell r="B70" t="str">
            <v>BIL</v>
          </cell>
        </row>
        <row r="71">
          <cell r="A71">
            <v>3070335</v>
          </cell>
          <cell r="B71" t="str">
            <v>BIL</v>
          </cell>
        </row>
        <row r="72">
          <cell r="A72">
            <v>3070336</v>
          </cell>
          <cell r="B72" t="str">
            <v>BIL</v>
          </cell>
        </row>
        <row r="73">
          <cell r="A73">
            <v>3070337</v>
          </cell>
          <cell r="B73" t="str">
            <v>BIL</v>
          </cell>
        </row>
        <row r="74">
          <cell r="A74">
            <v>3070338</v>
          </cell>
          <cell r="B74" t="str">
            <v>BIL</v>
          </cell>
        </row>
        <row r="75">
          <cell r="A75">
            <v>3118406</v>
          </cell>
          <cell r="B75" t="str">
            <v>BIL</v>
          </cell>
        </row>
        <row r="76">
          <cell r="A76">
            <v>3118508</v>
          </cell>
          <cell r="B76" t="str">
            <v>BIL</v>
          </cell>
        </row>
        <row r="77">
          <cell r="A77">
            <v>3118509</v>
          </cell>
          <cell r="B77" t="str">
            <v>BIL</v>
          </cell>
        </row>
        <row r="78">
          <cell r="A78">
            <v>3118510</v>
          </cell>
          <cell r="B78" t="str">
            <v>BIL</v>
          </cell>
        </row>
        <row r="79">
          <cell r="A79">
            <v>3118511</v>
          </cell>
          <cell r="B79" t="str">
            <v>BIL</v>
          </cell>
        </row>
        <row r="80">
          <cell r="A80">
            <v>3118512</v>
          </cell>
          <cell r="B80" t="str">
            <v>BIL</v>
          </cell>
        </row>
        <row r="81">
          <cell r="A81">
            <v>3118513</v>
          </cell>
          <cell r="B81" t="str">
            <v>BIL</v>
          </cell>
        </row>
        <row r="82">
          <cell r="A82">
            <v>3118514</v>
          </cell>
          <cell r="B82" t="str">
            <v>BIL</v>
          </cell>
        </row>
        <row r="83">
          <cell r="A83">
            <v>3118515</v>
          </cell>
          <cell r="B83" t="str">
            <v>BIL</v>
          </cell>
        </row>
        <row r="84">
          <cell r="A84">
            <v>3186285</v>
          </cell>
          <cell r="B84" t="str">
            <v>BIL</v>
          </cell>
        </row>
        <row r="85">
          <cell r="A85">
            <v>3186631</v>
          </cell>
          <cell r="B85" t="str">
            <v>BIL</v>
          </cell>
        </row>
        <row r="86">
          <cell r="A86">
            <v>3235893</v>
          </cell>
          <cell r="B86" t="str">
            <v>BIL</v>
          </cell>
        </row>
        <row r="87">
          <cell r="A87">
            <v>3235894</v>
          </cell>
          <cell r="B87" t="str">
            <v>BIL</v>
          </cell>
        </row>
        <row r="88">
          <cell r="A88">
            <v>3235895</v>
          </cell>
          <cell r="B88" t="str">
            <v>BIL</v>
          </cell>
        </row>
        <row r="89">
          <cell r="A89">
            <v>3235896</v>
          </cell>
          <cell r="B89" t="str">
            <v>BIL</v>
          </cell>
        </row>
        <row r="90">
          <cell r="A90">
            <v>3235912</v>
          </cell>
          <cell r="B90" t="str">
            <v>BIL</v>
          </cell>
        </row>
        <row r="91">
          <cell r="A91">
            <v>3070316</v>
          </cell>
          <cell r="B91" t="str">
            <v>BIL</v>
          </cell>
        </row>
        <row r="92">
          <cell r="A92">
            <v>3070317</v>
          </cell>
          <cell r="B92" t="str">
            <v>BIL</v>
          </cell>
        </row>
        <row r="93">
          <cell r="A93">
            <v>3118311</v>
          </cell>
          <cell r="B93" t="str">
            <v>BIL</v>
          </cell>
        </row>
        <row r="94">
          <cell r="A94">
            <v>3118491</v>
          </cell>
          <cell r="B94" t="str">
            <v>BIL</v>
          </cell>
        </row>
        <row r="95">
          <cell r="A95">
            <v>3118492</v>
          </cell>
          <cell r="B95" t="str">
            <v>BIL</v>
          </cell>
        </row>
        <row r="96">
          <cell r="A96">
            <v>3118493</v>
          </cell>
          <cell r="B96" t="str">
            <v>BIL</v>
          </cell>
        </row>
        <row r="97">
          <cell r="A97">
            <v>3118494</v>
          </cell>
          <cell r="B97" t="str">
            <v>BIL</v>
          </cell>
        </row>
        <row r="98">
          <cell r="A98">
            <v>3070364</v>
          </cell>
          <cell r="B98" t="str">
            <v>BIL</v>
          </cell>
        </row>
        <row r="99">
          <cell r="A99">
            <v>3336286</v>
          </cell>
          <cell r="B99" t="str">
            <v>BIL</v>
          </cell>
        </row>
        <row r="100">
          <cell r="A100">
            <v>3118497</v>
          </cell>
          <cell r="B100" t="str">
            <v>BIL</v>
          </cell>
        </row>
        <row r="101">
          <cell r="A101">
            <v>3118498</v>
          </cell>
          <cell r="B101" t="str">
            <v>BIL</v>
          </cell>
        </row>
        <row r="102">
          <cell r="A102">
            <v>3118499</v>
          </cell>
          <cell r="B102" t="str">
            <v>BIL</v>
          </cell>
        </row>
        <row r="103">
          <cell r="A103">
            <v>3134586</v>
          </cell>
          <cell r="B103" t="str">
            <v>BIL</v>
          </cell>
        </row>
        <row r="104">
          <cell r="A104">
            <v>3134618</v>
          </cell>
          <cell r="B104" t="str">
            <v>BIL</v>
          </cell>
        </row>
        <row r="105">
          <cell r="A105">
            <v>3235913</v>
          </cell>
          <cell r="B105" t="str">
            <v>BIL</v>
          </cell>
        </row>
        <row r="106">
          <cell r="A106">
            <v>3235914</v>
          </cell>
          <cell r="B106" t="str">
            <v>BIL</v>
          </cell>
        </row>
        <row r="107">
          <cell r="A107">
            <v>3235974</v>
          </cell>
          <cell r="B107" t="str">
            <v>BIL</v>
          </cell>
        </row>
        <row r="108">
          <cell r="A108">
            <v>3235975</v>
          </cell>
          <cell r="B108" t="str">
            <v>BIL</v>
          </cell>
        </row>
        <row r="109">
          <cell r="A109">
            <v>3235976</v>
          </cell>
          <cell r="B109" t="str">
            <v>BIL</v>
          </cell>
        </row>
        <row r="110">
          <cell r="A110">
            <v>3070322</v>
          </cell>
          <cell r="B110" t="str">
            <v>BIL</v>
          </cell>
        </row>
        <row r="111">
          <cell r="A111">
            <v>3070323</v>
          </cell>
          <cell r="B111" t="str">
            <v>BIL</v>
          </cell>
        </row>
        <row r="112">
          <cell r="A112">
            <v>3185927</v>
          </cell>
          <cell r="B112" t="str">
            <v>BIL</v>
          </cell>
        </row>
        <row r="113">
          <cell r="A113">
            <v>3185928</v>
          </cell>
          <cell r="B113" t="str">
            <v>BIL</v>
          </cell>
        </row>
        <row r="114">
          <cell r="A114">
            <v>3185929</v>
          </cell>
          <cell r="B114" t="str">
            <v>BIL</v>
          </cell>
        </row>
        <row r="115">
          <cell r="A115">
            <v>3185930</v>
          </cell>
          <cell r="B115" t="str">
            <v>BIL</v>
          </cell>
        </row>
        <row r="116">
          <cell r="A116">
            <v>3185931</v>
          </cell>
          <cell r="B116" t="str">
            <v>BIL</v>
          </cell>
        </row>
        <row r="117">
          <cell r="A117">
            <v>3185932</v>
          </cell>
          <cell r="B117" t="str">
            <v>BIL</v>
          </cell>
        </row>
        <row r="118">
          <cell r="A118">
            <v>3185933</v>
          </cell>
          <cell r="B118" t="str">
            <v>BIL</v>
          </cell>
        </row>
        <row r="119">
          <cell r="A119">
            <v>3185934</v>
          </cell>
          <cell r="B119" t="str">
            <v>BIL</v>
          </cell>
        </row>
        <row r="120">
          <cell r="A120">
            <v>3185935</v>
          </cell>
          <cell r="B120" t="str">
            <v>BIL</v>
          </cell>
        </row>
        <row r="121">
          <cell r="A121">
            <v>3186008</v>
          </cell>
          <cell r="B121" t="str">
            <v>BIL</v>
          </cell>
        </row>
        <row r="122">
          <cell r="A122">
            <v>3336286</v>
          </cell>
          <cell r="B122" t="str">
            <v>BIL</v>
          </cell>
        </row>
        <row r="123">
          <cell r="A123">
            <v>3334496</v>
          </cell>
          <cell r="B123" t="str">
            <v>BIL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1" t="str">
            <v>FICHA</v>
          </cell>
          <cell r="B1" t="str">
            <v>NIVEL</v>
          </cell>
          <cell r="C1" t="str">
            <v>APRENDICES</v>
          </cell>
          <cell r="D1" t="str">
            <v>PROGRAMA</v>
          </cell>
          <cell r="E1" t="str">
            <v>F INI</v>
          </cell>
          <cell r="F1" t="str">
            <v>F_FIN_ LEC</v>
          </cell>
          <cell r="G1" t="str">
            <v>F FFIN</v>
          </cell>
        </row>
        <row r="2">
          <cell r="A2">
            <v>3297708</v>
          </cell>
          <cell r="B2" t="str">
            <v>TÉCNICO</v>
          </cell>
          <cell r="C2">
            <v>70</v>
          </cell>
          <cell r="D2" t="str">
            <v>OPERACIONES COMERCIALES EN RETAIL</v>
          </cell>
          <cell r="E2" t="str">
            <v>25/09/2025</v>
          </cell>
          <cell r="F2">
            <v>46197</v>
          </cell>
          <cell r="G2" t="str">
            <v>24/12/2026</v>
          </cell>
        </row>
        <row r="3">
          <cell r="A3">
            <v>3041902</v>
          </cell>
          <cell r="B3" t="str">
            <v>TÉCNICO</v>
          </cell>
          <cell r="C3">
            <v>32</v>
          </cell>
          <cell r="D3" t="str">
            <v>SERVICIOS COMERCIALES Y FINANCIEROS</v>
          </cell>
          <cell r="E3" t="str">
            <v>02/09/2024</v>
          </cell>
          <cell r="F3">
            <v>45809</v>
          </cell>
          <cell r="G3" t="str">
            <v>01/06/2025</v>
          </cell>
        </row>
        <row r="4">
          <cell r="A4">
            <v>3041909</v>
          </cell>
          <cell r="B4" t="str">
            <v>TÉCNICO</v>
          </cell>
          <cell r="C4">
            <v>49</v>
          </cell>
          <cell r="D4" t="str">
            <v>SERVICIOS COMERCIALES Y FINANCIEROS</v>
          </cell>
          <cell r="E4" t="str">
            <v>02/09/2024</v>
          </cell>
          <cell r="F4">
            <v>45809</v>
          </cell>
          <cell r="G4" t="str">
            <v>01/06/2025</v>
          </cell>
        </row>
        <row r="5">
          <cell r="A5">
            <v>3013169</v>
          </cell>
          <cell r="B5" t="str">
            <v>TÉCNICO</v>
          </cell>
          <cell r="C5">
            <v>40</v>
          </cell>
          <cell r="D5" t="str">
            <v>ASESORIA COMERCIAL</v>
          </cell>
          <cell r="E5" t="str">
            <v>02/07/2024</v>
          </cell>
          <cell r="F5">
            <v>45748</v>
          </cell>
          <cell r="G5" t="str">
            <v>01/10/2025</v>
          </cell>
        </row>
        <row r="6">
          <cell r="A6">
            <v>3019786</v>
          </cell>
          <cell r="B6" t="str">
            <v>TÉCNICO</v>
          </cell>
          <cell r="C6">
            <v>45</v>
          </cell>
          <cell r="D6" t="str">
            <v>CONTABILIZACION DE OPERACIONES COMERCIALES Y FINANCIERAS.</v>
          </cell>
          <cell r="E6" t="str">
            <v>03/07/2024</v>
          </cell>
          <cell r="F6">
            <v>45749</v>
          </cell>
          <cell r="G6" t="str">
            <v>02/04/2025</v>
          </cell>
        </row>
        <row r="7">
          <cell r="A7">
            <v>3150194</v>
          </cell>
          <cell r="B7" t="str">
            <v>TÉCNICO</v>
          </cell>
          <cell r="C7">
            <v>66</v>
          </cell>
          <cell r="D7" t="str">
            <v>SERVICIOS COMERCIALES Y FINANCIEROS</v>
          </cell>
          <cell r="E7" t="str">
            <v>04/03/2025</v>
          </cell>
          <cell r="F7">
            <v>45994</v>
          </cell>
          <cell r="G7" t="str">
            <v>03/03/2026</v>
          </cell>
        </row>
        <row r="8">
          <cell r="A8">
            <v>3106275</v>
          </cell>
          <cell r="B8" t="str">
            <v>TÉCNICO</v>
          </cell>
          <cell r="C8">
            <v>46</v>
          </cell>
          <cell r="D8" t="str">
            <v>ASESORIA COMERCIAL</v>
          </cell>
          <cell r="E8" t="str">
            <v>05/11/2024</v>
          </cell>
          <cell r="F8">
            <v>46085</v>
          </cell>
          <cell r="G8" t="str">
            <v>04/03/2026</v>
          </cell>
        </row>
        <row r="9">
          <cell r="A9">
            <v>3059847</v>
          </cell>
          <cell r="B9" t="str">
            <v>TÉCNICO</v>
          </cell>
          <cell r="C9">
            <v>45</v>
          </cell>
          <cell r="D9" t="str">
            <v>SERVICIOS COMERCIALES Y FINANCIEROS</v>
          </cell>
          <cell r="E9" t="str">
            <v>05/09/2024</v>
          </cell>
          <cell r="F9">
            <v>45812</v>
          </cell>
          <cell r="G9" t="str">
            <v>04/09/2025</v>
          </cell>
        </row>
        <row r="10">
          <cell r="A10">
            <v>2864589</v>
          </cell>
          <cell r="B10" t="str">
            <v>TÉCNICO</v>
          </cell>
          <cell r="C10">
            <v>44</v>
          </cell>
          <cell r="D10" t="str">
            <v>OPERACIONES COMERCIALES EN RETAIL</v>
          </cell>
          <cell r="E10" t="str">
            <v>24/10/2023</v>
          </cell>
          <cell r="F10">
            <v>45496</v>
          </cell>
          <cell r="G10" t="str">
            <v>23/01/2025</v>
          </cell>
        </row>
        <row r="11">
          <cell r="A11">
            <v>3334496</v>
          </cell>
          <cell r="B11" t="str">
            <v>TÉCNICO</v>
          </cell>
          <cell r="C11">
            <v>75</v>
          </cell>
          <cell r="D11" t="str">
            <v>OPERACIONES COMERCIALES EN RETAIL</v>
          </cell>
          <cell r="E11" t="str">
            <v>15/09/2025</v>
          </cell>
          <cell r="F11">
            <v>46197</v>
          </cell>
          <cell r="G11" t="str">
            <v>24/06/2026</v>
          </cell>
        </row>
        <row r="12">
          <cell r="A12">
            <v>3059562</v>
          </cell>
          <cell r="B12" t="str">
            <v>TÉCNICO</v>
          </cell>
          <cell r="C12">
            <v>40</v>
          </cell>
          <cell r="D12" t="str">
            <v>ASESORIA COMERCIAL</v>
          </cell>
          <cell r="E12" t="str">
            <v>05/09/2024</v>
          </cell>
          <cell r="F12">
            <v>45812</v>
          </cell>
          <cell r="G12" t="str">
            <v>04/12/2025</v>
          </cell>
        </row>
        <row r="13">
          <cell r="A13">
            <v>3064539</v>
          </cell>
          <cell r="B13" t="str">
            <v>TÉCNICO</v>
          </cell>
          <cell r="C13">
            <v>49</v>
          </cell>
          <cell r="D13" t="str">
            <v>SERVICIOS COMERCIALES Y FINANCIEROS</v>
          </cell>
          <cell r="E13" t="str">
            <v>09/09/2024</v>
          </cell>
          <cell r="F13">
            <v>45816</v>
          </cell>
          <cell r="G13" t="str">
            <v>08/09/2025</v>
          </cell>
        </row>
        <row r="14">
          <cell r="A14">
            <v>3287439</v>
          </cell>
          <cell r="B14" t="str">
            <v>TÉCNICO</v>
          </cell>
          <cell r="C14">
            <v>66</v>
          </cell>
          <cell r="D14" t="str">
            <v>SERVICIOS Y OPERACIONES MICROFINANCIERAS</v>
          </cell>
          <cell r="E14" t="str">
            <v>29/07/2025</v>
          </cell>
          <cell r="F14">
            <v>46140</v>
          </cell>
          <cell r="G14" t="str">
            <v>28/10/2026</v>
          </cell>
        </row>
        <row r="15">
          <cell r="A15">
            <v>2834842</v>
          </cell>
          <cell r="B15" t="str">
            <v>TECNÓLOGO</v>
          </cell>
          <cell r="C15">
            <v>38</v>
          </cell>
          <cell r="D15" t="str">
            <v>ANALISIS Y DESARROLLO DE SOFTWARE.</v>
          </cell>
          <cell r="E15" t="str">
            <v>11/09/2023</v>
          </cell>
          <cell r="F15">
            <v>45818</v>
          </cell>
          <cell r="G15" t="str">
            <v>10/12/2025</v>
          </cell>
        </row>
        <row r="16">
          <cell r="A16">
            <v>2995652</v>
          </cell>
          <cell r="B16" t="str">
            <v>TECNÓLOGO</v>
          </cell>
          <cell r="C16">
            <v>53</v>
          </cell>
          <cell r="D16" t="str">
            <v>COORDINACION DE PROCESOS LOGISTICOS</v>
          </cell>
          <cell r="E16" t="str">
            <v>04/06/2024</v>
          </cell>
          <cell r="F16">
            <v>46084</v>
          </cell>
          <cell r="G16" t="str">
            <v>03/09/2026</v>
          </cell>
        </row>
        <row r="17">
          <cell r="A17">
            <v>2834846</v>
          </cell>
          <cell r="B17" t="str">
            <v>TECNÓLOGO</v>
          </cell>
          <cell r="C17">
            <v>22</v>
          </cell>
          <cell r="D17" t="str">
            <v>ANALISIS Y DESARROLLO DE SOFTWARE.</v>
          </cell>
          <cell r="E17" t="str">
            <v>11/09/2023</v>
          </cell>
          <cell r="F17">
            <v>45818</v>
          </cell>
          <cell r="G17" t="str">
            <v>10/12/2025</v>
          </cell>
        </row>
        <row r="18">
          <cell r="A18">
            <v>2834840</v>
          </cell>
          <cell r="B18" t="str">
            <v>TECNÓLOGO</v>
          </cell>
          <cell r="C18">
            <v>41</v>
          </cell>
          <cell r="D18" t="str">
            <v>ANALISIS Y DESARROLLO DE SOFTWARE.</v>
          </cell>
          <cell r="E18" t="str">
            <v>11/09/2023</v>
          </cell>
          <cell r="F18">
            <v>45818</v>
          </cell>
          <cell r="G18" t="str">
            <v>10/12/2025</v>
          </cell>
        </row>
        <row r="19">
          <cell r="A19">
            <v>2834650</v>
          </cell>
          <cell r="B19" t="str">
            <v>TECNÓLOGO</v>
          </cell>
          <cell r="C19">
            <v>32</v>
          </cell>
          <cell r="D19" t="str">
            <v>ANIMACION 3D.</v>
          </cell>
          <cell r="E19" t="str">
            <v>11/09/2023</v>
          </cell>
          <cell r="F19">
            <v>45818</v>
          </cell>
          <cell r="G19" t="str">
            <v>10/12/2025</v>
          </cell>
        </row>
        <row r="20">
          <cell r="A20">
            <v>2864590</v>
          </cell>
          <cell r="B20" t="str">
            <v>TÉCNICO</v>
          </cell>
          <cell r="C20">
            <v>49</v>
          </cell>
          <cell r="D20" t="str">
            <v>OPERACIONES COMERCIALES EN RETAIL</v>
          </cell>
          <cell r="E20" t="str">
            <v>24/10/2023</v>
          </cell>
          <cell r="F20">
            <v>45496</v>
          </cell>
          <cell r="G20" t="str">
            <v>23/01/2025</v>
          </cell>
        </row>
        <row r="21">
          <cell r="A21">
            <v>3186631</v>
          </cell>
          <cell r="B21" t="str">
            <v>TECNÓLOGO</v>
          </cell>
          <cell r="C21">
            <v>63</v>
          </cell>
          <cell r="D21" t="str">
            <v>ANALISIS Y DESARROLLO DE SOFTWARE.</v>
          </cell>
          <cell r="E21" t="str">
            <v>31/03/2025</v>
          </cell>
          <cell r="F21">
            <v>46386</v>
          </cell>
          <cell r="G21" t="str">
            <v>30/06/2027</v>
          </cell>
        </row>
        <row r="22">
          <cell r="A22">
            <v>3336465</v>
          </cell>
          <cell r="B22" t="str">
            <v>TECNÓLOGO</v>
          </cell>
          <cell r="C22">
            <v>48</v>
          </cell>
          <cell r="D22" t="str">
            <v>COORDINACION DE PROCESOS LOGISTICOS</v>
          </cell>
          <cell r="E22" t="str">
            <v>29/09/2025</v>
          </cell>
          <cell r="F22">
            <v>46566</v>
          </cell>
          <cell r="G22" t="str">
            <v>28/12/2027</v>
          </cell>
        </row>
        <row r="23">
          <cell r="A23">
            <v>3335841</v>
          </cell>
          <cell r="B23" t="str">
            <v>TECNÓLOGO</v>
          </cell>
          <cell r="C23">
            <v>50</v>
          </cell>
          <cell r="D23" t="str">
            <v>GESTION CONTABLE Y DE INFORMACION FINANCIERA</v>
          </cell>
          <cell r="E23" t="str">
            <v>29/09/2025</v>
          </cell>
          <cell r="F23">
            <v>46566</v>
          </cell>
          <cell r="G23" t="str">
            <v>28/12/2027</v>
          </cell>
        </row>
        <row r="24">
          <cell r="A24">
            <v>3134622</v>
          </cell>
          <cell r="B24" t="str">
            <v>TECNÓLOGO</v>
          </cell>
          <cell r="C24">
            <v>43</v>
          </cell>
          <cell r="D24" t="str">
            <v>ANALISIS Y DESARROLLO DE SOFTWARE.</v>
          </cell>
          <cell r="E24" t="str">
            <v>09/12/2024</v>
          </cell>
          <cell r="F24">
            <v>46273</v>
          </cell>
          <cell r="G24" t="str">
            <v>08/03/2027</v>
          </cell>
        </row>
        <row r="25">
          <cell r="A25">
            <v>2834649</v>
          </cell>
          <cell r="B25" t="str">
            <v>TECNÓLOGO</v>
          </cell>
          <cell r="C25">
            <v>39</v>
          </cell>
          <cell r="D25" t="str">
            <v>ANIMACION 3D.</v>
          </cell>
          <cell r="E25" t="str">
            <v>11/09/2023</v>
          </cell>
          <cell r="F25">
            <v>45818</v>
          </cell>
          <cell r="G25" t="str">
            <v>10/12/2025</v>
          </cell>
        </row>
        <row r="26">
          <cell r="A26">
            <v>3335839</v>
          </cell>
          <cell r="B26" t="str">
            <v>TECNÓLOGO</v>
          </cell>
          <cell r="C26">
            <v>52</v>
          </cell>
          <cell r="D26" t="str">
            <v>GESTION CONTABLE Y DE INFORMACION FINANCIERA</v>
          </cell>
          <cell r="E26" t="str">
            <v>29/09/2025</v>
          </cell>
          <cell r="F26">
            <v>46566</v>
          </cell>
          <cell r="G26" t="str">
            <v>28/12/2027</v>
          </cell>
        </row>
        <row r="27">
          <cell r="A27">
            <v>3118513</v>
          </cell>
          <cell r="B27" t="str">
            <v>TECNÓLOGO</v>
          </cell>
          <cell r="C27">
            <v>43</v>
          </cell>
          <cell r="D27" t="str">
            <v>DESARROLLO DE MEDIOS GRAFICOS VISUALES</v>
          </cell>
          <cell r="E27" t="str">
            <v>18/11/2024</v>
          </cell>
          <cell r="F27">
            <v>46251</v>
          </cell>
          <cell r="G27" t="str">
            <v>17/02/2027</v>
          </cell>
        </row>
        <row r="28">
          <cell r="A28">
            <v>3134623</v>
          </cell>
          <cell r="B28" t="str">
            <v>TECNÓLOGO</v>
          </cell>
          <cell r="C28">
            <v>41</v>
          </cell>
          <cell r="D28" t="str">
            <v>ANALISIS Y DESARROLLO DE SOFTWARE.</v>
          </cell>
          <cell r="E28" t="str">
            <v>09/12/2024</v>
          </cell>
          <cell r="F28">
            <v>46273</v>
          </cell>
          <cell r="G28" t="str">
            <v>08/03/2027</v>
          </cell>
        </row>
        <row r="29">
          <cell r="A29">
            <v>3118509</v>
          </cell>
          <cell r="B29" t="str">
            <v>TECNÓLOGO</v>
          </cell>
          <cell r="C29">
            <v>42</v>
          </cell>
          <cell r="D29" t="str">
            <v>DESARROLLO DE MEDIOS GRAFICOS VISUALES</v>
          </cell>
          <cell r="E29" t="str">
            <v>18/11/2024</v>
          </cell>
          <cell r="F29">
            <v>46251</v>
          </cell>
          <cell r="G29" t="str">
            <v>17/02/2027</v>
          </cell>
        </row>
        <row r="30">
          <cell r="A30">
            <v>3336175</v>
          </cell>
          <cell r="B30" t="str">
            <v>TECNÓLOGO</v>
          </cell>
          <cell r="C30">
            <v>50</v>
          </cell>
          <cell r="D30" t="str">
            <v>ANALISIS Y DESARROLLO DE SOFTWARE.</v>
          </cell>
          <cell r="E30" t="str">
            <v>29/09/2025</v>
          </cell>
          <cell r="F30">
            <v>46566</v>
          </cell>
          <cell r="G30" t="str">
            <v>28/12/2027</v>
          </cell>
        </row>
        <row r="31">
          <cell r="A31">
            <v>3336182</v>
          </cell>
          <cell r="B31" t="str">
            <v>TECNÓLOGO</v>
          </cell>
          <cell r="C31">
            <v>50</v>
          </cell>
          <cell r="D31" t="str">
            <v>ANALISIS Y DESARROLLO DE SOFTWARE.</v>
          </cell>
          <cell r="E31" t="str">
            <v>29/09/2025</v>
          </cell>
          <cell r="F31">
            <v>46566</v>
          </cell>
          <cell r="G31" t="str">
            <v>28/12/2027</v>
          </cell>
        </row>
        <row r="32">
          <cell r="A32">
            <v>3336170</v>
          </cell>
          <cell r="B32" t="str">
            <v>TECNÓLOGO</v>
          </cell>
          <cell r="C32">
            <v>44</v>
          </cell>
          <cell r="D32" t="str">
            <v>ANALISIS Y DESARROLLO DE SOFTWARE.</v>
          </cell>
          <cell r="E32" t="str">
            <v>29/09/2025</v>
          </cell>
          <cell r="F32">
            <v>46566</v>
          </cell>
          <cell r="G32" t="str">
            <v>28/12/2027</v>
          </cell>
        </row>
        <row r="33">
          <cell r="A33">
            <v>3335838</v>
          </cell>
          <cell r="B33" t="str">
            <v>TECNÓLOGO</v>
          </cell>
          <cell r="C33">
            <v>58</v>
          </cell>
          <cell r="D33" t="str">
            <v>GESTION CONTABLE Y DE INFORMACION FINANCIERA</v>
          </cell>
          <cell r="E33" t="str">
            <v>29/09/2025</v>
          </cell>
          <cell r="F33">
            <v>46566</v>
          </cell>
          <cell r="G33" t="str">
            <v>28/12/2027</v>
          </cell>
        </row>
        <row r="34">
          <cell r="A34">
            <v>3335847</v>
          </cell>
          <cell r="B34" t="str">
            <v>TECNÓLOGO</v>
          </cell>
          <cell r="C34">
            <v>48</v>
          </cell>
          <cell r="D34" t="str">
            <v>GESTION CONTABLE Y DE INFORMACION FINANCIERA</v>
          </cell>
          <cell r="E34" t="str">
            <v>29/09/2025</v>
          </cell>
          <cell r="F34">
            <v>46566</v>
          </cell>
          <cell r="G34" t="str">
            <v>28/12/2027</v>
          </cell>
        </row>
        <row r="35">
          <cell r="A35">
            <v>3118494</v>
          </cell>
          <cell r="B35" t="str">
            <v>TECNÓLOGO</v>
          </cell>
          <cell r="C35">
            <v>43</v>
          </cell>
          <cell r="D35" t="str">
            <v>ANALISIS Y DESARROLLO DE SOFTWARE.</v>
          </cell>
          <cell r="E35" t="str">
            <v>18/11/2024</v>
          </cell>
          <cell r="F35">
            <v>46251</v>
          </cell>
          <cell r="G35" t="str">
            <v>17/02/2027</v>
          </cell>
        </row>
        <row r="36">
          <cell r="A36">
            <v>3118500</v>
          </cell>
          <cell r="B36" t="str">
            <v>TECNÓLOGO</v>
          </cell>
          <cell r="C36">
            <v>40</v>
          </cell>
          <cell r="D36" t="str">
            <v>COORDINACION DE PROCESOS LOGISTICOS</v>
          </cell>
          <cell r="E36" t="str">
            <v>18/11/2024</v>
          </cell>
          <cell r="F36">
            <v>46251</v>
          </cell>
          <cell r="G36" t="str">
            <v>17/02/2027</v>
          </cell>
        </row>
        <row r="37">
          <cell r="A37">
            <v>2834850</v>
          </cell>
          <cell r="B37" t="str">
            <v>TECNÓLOGO</v>
          </cell>
          <cell r="C37">
            <v>38</v>
          </cell>
          <cell r="D37" t="str">
            <v>ANALISIS Y DESARROLLO DE SOFTWARE.</v>
          </cell>
          <cell r="E37" t="str">
            <v>11/09/2023</v>
          </cell>
          <cell r="F37">
            <v>45818</v>
          </cell>
          <cell r="G37" t="str">
            <v>10/12/2025</v>
          </cell>
        </row>
        <row r="38">
          <cell r="A38">
            <v>3185932</v>
          </cell>
          <cell r="B38" t="str">
            <v>TECNÓLOGO</v>
          </cell>
          <cell r="C38">
            <v>60</v>
          </cell>
          <cell r="D38" t="str">
            <v>COORDINACION DE PROCESOS LOGISTICOS</v>
          </cell>
          <cell r="E38" t="str">
            <v>31/03/2025</v>
          </cell>
          <cell r="F38">
            <v>46386</v>
          </cell>
          <cell r="G38" t="str">
            <v>30/06/2027</v>
          </cell>
        </row>
        <row r="39">
          <cell r="A39">
            <v>3335834</v>
          </cell>
          <cell r="B39" t="str">
            <v>TECNÓLOGO</v>
          </cell>
          <cell r="C39">
            <v>45</v>
          </cell>
          <cell r="D39" t="str">
            <v>GESTION CONTABLE Y DE INFORMACION FINANCIERA</v>
          </cell>
          <cell r="E39" t="str">
            <v>29/09/2025</v>
          </cell>
          <cell r="F39">
            <v>46566</v>
          </cell>
          <cell r="G39" t="str">
            <v>28/12/2027</v>
          </cell>
        </row>
        <row r="40">
          <cell r="A40">
            <v>3335848</v>
          </cell>
          <cell r="B40" t="str">
            <v>TECNÓLOGO</v>
          </cell>
          <cell r="C40">
            <v>46</v>
          </cell>
          <cell r="D40" t="str">
            <v>GESTION CONTABLE Y DE INFORMACION FINANCIERA</v>
          </cell>
          <cell r="E40" t="str">
            <v>29/09/2025</v>
          </cell>
          <cell r="F40">
            <v>46566</v>
          </cell>
          <cell r="G40" t="str">
            <v>28/12/2027</v>
          </cell>
        </row>
        <row r="41">
          <cell r="A41">
            <v>2834848</v>
          </cell>
          <cell r="B41" t="str">
            <v>TECNÓLOGO</v>
          </cell>
          <cell r="C41">
            <v>43</v>
          </cell>
          <cell r="D41" t="str">
            <v>ANALISIS Y DESARROLLO DE SOFTWARE.</v>
          </cell>
          <cell r="E41" t="str">
            <v>11/09/2023</v>
          </cell>
          <cell r="F41">
            <v>45818</v>
          </cell>
          <cell r="G41" t="str">
            <v>10/12/2025</v>
          </cell>
        </row>
        <row r="42">
          <cell r="A42">
            <v>3235890</v>
          </cell>
          <cell r="B42" t="str">
            <v>TECNÓLOGO</v>
          </cell>
          <cell r="C42">
            <v>59</v>
          </cell>
          <cell r="D42" t="str">
            <v>ANALISIS Y DESARROLLO DE SOFTWARE.</v>
          </cell>
          <cell r="E42" t="str">
            <v>03/06/2025</v>
          </cell>
          <cell r="F42">
            <v>46448</v>
          </cell>
          <cell r="G42" t="str">
            <v>02/09/2027</v>
          </cell>
        </row>
        <row r="43">
          <cell r="A43">
            <v>3118374</v>
          </cell>
          <cell r="B43" t="str">
            <v>TECNÓLOGO</v>
          </cell>
          <cell r="C43">
            <v>46</v>
          </cell>
          <cell r="D43" t="str">
            <v>COORDINACION DE PROCESOS LOGISTICOS</v>
          </cell>
          <cell r="E43" t="str">
            <v>18/11/2024</v>
          </cell>
          <cell r="F43">
            <v>46251</v>
          </cell>
          <cell r="G43" t="str">
            <v>17/02/2027</v>
          </cell>
        </row>
        <row r="44">
          <cell r="A44">
            <v>3235913</v>
          </cell>
          <cell r="B44" t="str">
            <v>TECNÓLOGO</v>
          </cell>
          <cell r="C44">
            <v>69</v>
          </cell>
          <cell r="D44" t="str">
            <v>ANIMACION 3D.</v>
          </cell>
          <cell r="E44" t="str">
            <v>03/06/2025</v>
          </cell>
          <cell r="F44">
            <v>46448</v>
          </cell>
          <cell r="G44" t="str">
            <v>02/09/2027</v>
          </cell>
        </row>
        <row r="45">
          <cell r="A45">
            <v>3235895</v>
          </cell>
          <cell r="B45" t="str">
            <v>TECNÓLOGO</v>
          </cell>
          <cell r="C45">
            <v>59</v>
          </cell>
          <cell r="D45" t="str">
            <v>ANALISIS Y DESARROLLO DE SOFTWARE.</v>
          </cell>
          <cell r="E45" t="str">
            <v>03/06/2025</v>
          </cell>
          <cell r="F45">
            <v>46448</v>
          </cell>
          <cell r="G45" t="str">
            <v>02/09/2027</v>
          </cell>
        </row>
        <row r="46">
          <cell r="A46">
            <v>3236062</v>
          </cell>
          <cell r="B46" t="str">
            <v>TÉCNICO</v>
          </cell>
          <cell r="C46">
            <v>72</v>
          </cell>
          <cell r="D46" t="str">
            <v>SERVICIOS COMERCIALES Y FINANCIEROS</v>
          </cell>
          <cell r="E46" t="str">
            <v>03/06/2025</v>
          </cell>
          <cell r="F46">
            <v>46083</v>
          </cell>
          <cell r="G46" t="str">
            <v>02/09/2026</v>
          </cell>
        </row>
        <row r="47">
          <cell r="A47">
            <v>2834847</v>
          </cell>
          <cell r="B47" t="str">
            <v>TECNÓLOGO</v>
          </cell>
          <cell r="C47">
            <v>44</v>
          </cell>
          <cell r="D47" t="str">
            <v>ANALISIS Y DESARROLLO DE SOFTWARE.</v>
          </cell>
          <cell r="E47" t="str">
            <v>11/09/2023</v>
          </cell>
          <cell r="F47">
            <v>45818</v>
          </cell>
          <cell r="G47" t="str">
            <v>10/12/2025</v>
          </cell>
        </row>
        <row r="48">
          <cell r="A48">
            <v>2834844</v>
          </cell>
          <cell r="B48" t="str">
            <v>TECNÓLOGO</v>
          </cell>
          <cell r="C48">
            <v>22</v>
          </cell>
          <cell r="D48" t="str">
            <v>ANALISIS Y DESARROLLO DE SOFTWARE.</v>
          </cell>
          <cell r="E48" t="str">
            <v>11/09/2023</v>
          </cell>
          <cell r="F48">
            <v>45818</v>
          </cell>
          <cell r="G48" t="str">
            <v>10/12/2025</v>
          </cell>
        </row>
        <row r="49">
          <cell r="A49">
            <v>2834843</v>
          </cell>
          <cell r="B49" t="str">
            <v>TECNÓLOGO</v>
          </cell>
          <cell r="C49">
            <v>22</v>
          </cell>
          <cell r="D49" t="str">
            <v>ANALISIS Y DESARROLLO DE SOFTWARE.</v>
          </cell>
          <cell r="E49" t="str">
            <v>11/09/2023</v>
          </cell>
          <cell r="F49">
            <v>45818</v>
          </cell>
          <cell r="G49" t="str">
            <v>10/12/2025</v>
          </cell>
        </row>
        <row r="50">
          <cell r="A50">
            <v>2834849</v>
          </cell>
          <cell r="B50" t="str">
            <v>TECNÓLOGO</v>
          </cell>
          <cell r="C50">
            <v>44</v>
          </cell>
          <cell r="D50" t="str">
            <v>ANALISIS Y DESARROLLO DE SOFTWARE.</v>
          </cell>
          <cell r="E50" t="str">
            <v>11/09/2023</v>
          </cell>
          <cell r="F50">
            <v>45818</v>
          </cell>
          <cell r="G50" t="str">
            <v>10/12/2025</v>
          </cell>
        </row>
        <row r="51">
          <cell r="A51">
            <v>2834855</v>
          </cell>
          <cell r="B51" t="str">
            <v>TECNÓLOGO</v>
          </cell>
          <cell r="C51">
            <v>39</v>
          </cell>
          <cell r="D51" t="str">
            <v>ANALISIS Y DESARROLLO DE SOFTWARE.</v>
          </cell>
          <cell r="E51" t="str">
            <v>11/09/2023</v>
          </cell>
          <cell r="F51">
            <v>45818</v>
          </cell>
          <cell r="G51" t="str">
            <v>10/12/2025</v>
          </cell>
        </row>
        <row r="52">
          <cell r="A52">
            <v>3336470</v>
          </cell>
          <cell r="B52" t="str">
            <v>TECNÓLOGO</v>
          </cell>
          <cell r="C52">
            <v>51</v>
          </cell>
          <cell r="D52" t="str">
            <v>COORDINACION DE PROCESOS LOGISTICOS</v>
          </cell>
          <cell r="E52" t="str">
            <v>29/09/2025</v>
          </cell>
          <cell r="F52">
            <v>46566</v>
          </cell>
          <cell r="G52" t="str">
            <v>28/12/2027</v>
          </cell>
        </row>
        <row r="53">
          <cell r="A53">
            <v>2977743</v>
          </cell>
          <cell r="B53" t="str">
            <v>TECNÓLOGO</v>
          </cell>
          <cell r="C53">
            <v>41</v>
          </cell>
          <cell r="D53" t="str">
            <v>COORDINACION DE PROCESOS LOGISTICOS</v>
          </cell>
          <cell r="E53" t="str">
            <v>14/05/2024</v>
          </cell>
          <cell r="F53">
            <v>46066</v>
          </cell>
          <cell r="G53" t="str">
            <v>13/08/2026</v>
          </cell>
        </row>
        <row r="54">
          <cell r="A54">
            <v>2834841</v>
          </cell>
          <cell r="B54" t="str">
            <v>TECNÓLOGO</v>
          </cell>
          <cell r="C54">
            <v>44</v>
          </cell>
          <cell r="D54" t="str">
            <v>ANALISIS Y DESARROLLO DE SOFTWARE.</v>
          </cell>
          <cell r="E54" t="str">
            <v>11/09/2023</v>
          </cell>
          <cell r="F54">
            <v>45818</v>
          </cell>
          <cell r="G54" t="str">
            <v>10/12/2025</v>
          </cell>
        </row>
        <row r="55">
          <cell r="A55">
            <v>2834853</v>
          </cell>
          <cell r="B55" t="str">
            <v>TECNÓLOGO</v>
          </cell>
          <cell r="C55">
            <v>26</v>
          </cell>
          <cell r="D55" t="str">
            <v>ANALISIS Y DESARROLLO DE SOFTWARE.</v>
          </cell>
          <cell r="E55" t="str">
            <v>11/09/2023</v>
          </cell>
          <cell r="F55">
            <v>45818</v>
          </cell>
          <cell r="G55" t="str">
            <v>10/12/2025</v>
          </cell>
        </row>
        <row r="56">
          <cell r="A56">
            <v>2977762</v>
          </cell>
          <cell r="B56" t="str">
            <v>TECNÓLOGO</v>
          </cell>
          <cell r="C56">
            <v>34</v>
          </cell>
          <cell r="D56" t="str">
            <v>COORDINACION DE PROCESOS LOGISTICOS</v>
          </cell>
          <cell r="E56" t="str">
            <v>14/05/2024</v>
          </cell>
          <cell r="F56">
            <v>46066</v>
          </cell>
          <cell r="G56" t="str">
            <v>13/08/2026</v>
          </cell>
        </row>
        <row r="57">
          <cell r="A57">
            <v>3335699</v>
          </cell>
          <cell r="B57" t="str">
            <v>TECNÓLOGO</v>
          </cell>
          <cell r="C57">
            <v>55</v>
          </cell>
          <cell r="D57" t="str">
            <v>DESARROLLO DE MEDIOS GRAFICOS VISUALES</v>
          </cell>
          <cell r="E57" t="str">
            <v>29/09/2025</v>
          </cell>
          <cell r="F57">
            <v>46566</v>
          </cell>
          <cell r="G57" t="str">
            <v>28/12/2027</v>
          </cell>
        </row>
        <row r="58">
          <cell r="A58">
            <v>2834838</v>
          </cell>
          <cell r="B58" t="str">
            <v>TECNÓLOGO</v>
          </cell>
          <cell r="C58">
            <v>30</v>
          </cell>
          <cell r="D58" t="str">
            <v>ANALISIS Y DESARROLLO DE SOFTWARE.</v>
          </cell>
          <cell r="E58" t="str">
            <v>11/09/2023</v>
          </cell>
          <cell r="F58">
            <v>45818</v>
          </cell>
          <cell r="G58" t="str">
            <v>10/12/2025</v>
          </cell>
        </row>
        <row r="59">
          <cell r="A59">
            <v>3070363</v>
          </cell>
          <cell r="B59" t="str">
            <v>TECNÓLOGO</v>
          </cell>
          <cell r="C59">
            <v>38</v>
          </cell>
          <cell r="D59" t="str">
            <v>DESARROLLO PUBLICITARIO</v>
          </cell>
          <cell r="E59" t="str">
            <v>16/09/2024</v>
          </cell>
          <cell r="F59">
            <v>46188</v>
          </cell>
          <cell r="G59" t="str">
            <v>15/12/2026</v>
          </cell>
        </row>
        <row r="60">
          <cell r="A60">
            <v>3336460</v>
          </cell>
          <cell r="B60" t="str">
            <v>TECNÓLOGO</v>
          </cell>
          <cell r="C60">
            <v>50</v>
          </cell>
          <cell r="D60" t="str">
            <v>COORDINACION DE PROCESOS LOGISTICOS</v>
          </cell>
          <cell r="E60" t="str">
            <v>29/09/2025</v>
          </cell>
          <cell r="F60">
            <v>46566</v>
          </cell>
          <cell r="G60" t="str">
            <v>28/12/2027</v>
          </cell>
        </row>
        <row r="61">
          <cell r="A61">
            <v>3336463</v>
          </cell>
          <cell r="B61" t="str">
            <v>TECNÓLOGO</v>
          </cell>
          <cell r="C61">
            <v>53</v>
          </cell>
          <cell r="D61" t="str">
            <v>COORDINACION DE PROCESOS LOGISTICOS</v>
          </cell>
          <cell r="E61" t="str">
            <v>29/09/2025</v>
          </cell>
          <cell r="F61">
            <v>46566</v>
          </cell>
          <cell r="G61" t="str">
            <v>28/12/2027</v>
          </cell>
        </row>
        <row r="62">
          <cell r="A62">
            <v>2834845</v>
          </cell>
          <cell r="B62" t="str">
            <v>TECNÓLOGO</v>
          </cell>
          <cell r="C62">
            <v>17</v>
          </cell>
          <cell r="D62" t="str">
            <v>ANALISIS Y DESARROLLO DE SOFTWARE.</v>
          </cell>
          <cell r="E62" t="str">
            <v>11/09/2023</v>
          </cell>
          <cell r="F62">
            <v>45818</v>
          </cell>
          <cell r="G62" t="str">
            <v>10/12/2025</v>
          </cell>
        </row>
        <row r="63">
          <cell r="A63">
            <v>3070326</v>
          </cell>
          <cell r="B63" t="str">
            <v>TECNÓLOGO</v>
          </cell>
          <cell r="C63">
            <v>37</v>
          </cell>
          <cell r="D63" t="str">
            <v>ANALISIS Y DESARROLLO DE SOFTWARE.</v>
          </cell>
          <cell r="E63" t="str">
            <v>16/09/2024</v>
          </cell>
          <cell r="F63">
            <v>46188</v>
          </cell>
          <cell r="G63" t="str">
            <v>15/12/2026</v>
          </cell>
        </row>
        <row r="64">
          <cell r="A64">
            <v>2977634</v>
          </cell>
          <cell r="B64" t="str">
            <v>TECNÓLOGO</v>
          </cell>
          <cell r="C64">
            <v>39</v>
          </cell>
          <cell r="D64" t="str">
            <v>DESARROLLO PUBLICITARIO</v>
          </cell>
          <cell r="E64" t="str">
            <v>14/05/2024</v>
          </cell>
          <cell r="F64">
            <v>46066</v>
          </cell>
          <cell r="G64" t="str">
            <v>13/08/2026</v>
          </cell>
        </row>
        <row r="65">
          <cell r="A65">
            <v>2977135</v>
          </cell>
          <cell r="B65" t="str">
            <v>TECNÓLOGO</v>
          </cell>
          <cell r="C65">
            <v>29</v>
          </cell>
          <cell r="D65" t="str">
            <v>DESARROLLO MULTIMEDIA Y WEB</v>
          </cell>
          <cell r="E65" t="str">
            <v>14/05/2024</v>
          </cell>
          <cell r="F65">
            <v>46066</v>
          </cell>
          <cell r="G65" t="str">
            <v>13/08/2026</v>
          </cell>
        </row>
        <row r="66">
          <cell r="A66">
            <v>3070314</v>
          </cell>
          <cell r="B66" t="str">
            <v>TECNÓLOGO</v>
          </cell>
          <cell r="C66">
            <v>36</v>
          </cell>
          <cell r="D66" t="str">
            <v>ANALISIS Y DESARROLLO DE SOFTWARE.</v>
          </cell>
          <cell r="E66" t="str">
            <v>16/09/2024</v>
          </cell>
          <cell r="F66">
            <v>46188</v>
          </cell>
          <cell r="G66" t="str">
            <v>15/12/2026</v>
          </cell>
        </row>
        <row r="67">
          <cell r="A67">
            <v>3070345</v>
          </cell>
          <cell r="B67" t="str">
            <v>TECNÓLOGO</v>
          </cell>
          <cell r="C67">
            <v>41</v>
          </cell>
          <cell r="D67" t="str">
            <v>COORDINACION DE PROCESOS LOGISTICOS</v>
          </cell>
          <cell r="E67" t="str">
            <v>16/09/2024</v>
          </cell>
          <cell r="F67">
            <v>46188</v>
          </cell>
          <cell r="G67" t="str">
            <v>15/12/2026</v>
          </cell>
        </row>
        <row r="68">
          <cell r="A68">
            <v>3070324</v>
          </cell>
          <cell r="B68" t="str">
            <v>TECNÓLOGO</v>
          </cell>
          <cell r="C68">
            <v>39</v>
          </cell>
          <cell r="D68" t="str">
            <v>ANALISIS Y DESARROLLO DE SOFTWARE.</v>
          </cell>
          <cell r="E68" t="str">
            <v>16/09/2024</v>
          </cell>
          <cell r="F68">
            <v>46188</v>
          </cell>
          <cell r="G68" t="str">
            <v>15/12/2026</v>
          </cell>
        </row>
        <row r="69">
          <cell r="A69">
            <v>3070362</v>
          </cell>
          <cell r="B69" t="str">
            <v>TECNÓLOGO</v>
          </cell>
          <cell r="C69">
            <v>36</v>
          </cell>
          <cell r="D69" t="str">
            <v>DESARROLLO PUBLICITARIO</v>
          </cell>
          <cell r="E69" t="str">
            <v>16/09/2024</v>
          </cell>
          <cell r="F69">
            <v>46188</v>
          </cell>
          <cell r="G69" t="str">
            <v>15/12/2026</v>
          </cell>
        </row>
        <row r="70">
          <cell r="A70">
            <v>2834839</v>
          </cell>
          <cell r="B70" t="str">
            <v>TECNÓLOGO</v>
          </cell>
          <cell r="C70">
            <v>41</v>
          </cell>
          <cell r="D70" t="str">
            <v>ANALISIS Y DESARROLLO DE SOFTWARE.</v>
          </cell>
          <cell r="E70" t="str">
            <v>11/09/2023</v>
          </cell>
          <cell r="F70">
            <v>45818</v>
          </cell>
          <cell r="G70" t="str">
            <v>10/12/2025</v>
          </cell>
        </row>
        <row r="71">
          <cell r="A71">
            <v>2834651</v>
          </cell>
          <cell r="B71" t="str">
            <v>TECNÓLOGO</v>
          </cell>
          <cell r="C71">
            <v>40</v>
          </cell>
          <cell r="D71" t="str">
            <v>ANIMACION 3D.</v>
          </cell>
          <cell r="E71" t="str">
            <v>11/09/2023</v>
          </cell>
          <cell r="F71">
            <v>45818</v>
          </cell>
          <cell r="G71" t="str">
            <v>10/12/2025</v>
          </cell>
        </row>
        <row r="72">
          <cell r="A72">
            <v>2834854</v>
          </cell>
          <cell r="B72" t="str">
            <v>TECNÓLOGO</v>
          </cell>
          <cell r="C72">
            <v>38</v>
          </cell>
          <cell r="D72" t="str">
            <v>ANALISIS Y DESARROLLO DE SOFTWARE.</v>
          </cell>
          <cell r="E72" t="str">
            <v>11/09/2023</v>
          </cell>
          <cell r="F72">
            <v>45818</v>
          </cell>
          <cell r="G72" t="str">
            <v>10/12/2025</v>
          </cell>
        </row>
        <row r="73">
          <cell r="A73">
            <v>3336264</v>
          </cell>
          <cell r="B73" t="str">
            <v>TECNÓLOGO</v>
          </cell>
          <cell r="C73">
            <v>41</v>
          </cell>
          <cell r="D73" t="str">
            <v>ANIMACION 3D.</v>
          </cell>
          <cell r="E73" t="str">
            <v>28/09/2025</v>
          </cell>
          <cell r="F73">
            <v>46566</v>
          </cell>
          <cell r="G73" t="str">
            <v>28/12/2027</v>
          </cell>
        </row>
        <row r="74">
          <cell r="A74">
            <v>2834852</v>
          </cell>
          <cell r="B74" t="str">
            <v>TECNÓLOGO</v>
          </cell>
          <cell r="C74">
            <v>33</v>
          </cell>
          <cell r="D74" t="str">
            <v>ANALISIS Y DESARROLLO DE SOFTWARE.</v>
          </cell>
          <cell r="E74" t="str">
            <v>11/09/2023</v>
          </cell>
          <cell r="F74">
            <v>45818</v>
          </cell>
          <cell r="G74" t="str">
            <v>10/12/2025</v>
          </cell>
        </row>
        <row r="75">
          <cell r="A75">
            <v>3134586</v>
          </cell>
          <cell r="B75" t="str">
            <v>TECNÓLOGO</v>
          </cell>
          <cell r="C75">
            <v>39</v>
          </cell>
          <cell r="D75" t="str">
            <v>DESARROLLO DE MEDIOS GRAFICOS VISUALES</v>
          </cell>
          <cell r="E75" t="str">
            <v>09/12/2024</v>
          </cell>
          <cell r="F75">
            <v>46273</v>
          </cell>
          <cell r="G75" t="str">
            <v>08/03/2027</v>
          </cell>
        </row>
        <row r="76">
          <cell r="A76">
            <v>3134550</v>
          </cell>
          <cell r="B76" t="str">
            <v>TECNÓLOGO</v>
          </cell>
          <cell r="C76">
            <v>46</v>
          </cell>
          <cell r="D76" t="str">
            <v>ANALISIS Y DESARROLLO DE SOFTWARE.</v>
          </cell>
          <cell r="E76" t="str">
            <v>09/12/2024</v>
          </cell>
          <cell r="F76">
            <v>46273</v>
          </cell>
          <cell r="G76" t="str">
            <v>08/03/2027</v>
          </cell>
        </row>
        <row r="77">
          <cell r="A77">
            <v>3070339</v>
          </cell>
          <cell r="B77" t="str">
            <v>TECNÓLOGO</v>
          </cell>
          <cell r="C77">
            <v>36</v>
          </cell>
          <cell r="D77" t="str">
            <v>COORDINACION DE PROCESOS LOGISTICOS</v>
          </cell>
          <cell r="E77" t="str">
            <v>16/09/2024</v>
          </cell>
          <cell r="F77">
            <v>46188</v>
          </cell>
          <cell r="G77" t="str">
            <v>15/12/2026</v>
          </cell>
        </row>
        <row r="78">
          <cell r="A78">
            <v>3070337</v>
          </cell>
          <cell r="B78" t="str">
            <v>TECNÓLOGO</v>
          </cell>
          <cell r="C78">
            <v>38</v>
          </cell>
          <cell r="D78" t="str">
            <v>COORDINACION DE PROCESOS LOGISTICOS</v>
          </cell>
          <cell r="E78" t="str">
            <v>16/09/2024</v>
          </cell>
          <cell r="F78">
            <v>46188</v>
          </cell>
          <cell r="G78" t="str">
            <v>15/12/2026</v>
          </cell>
        </row>
        <row r="79">
          <cell r="A79">
            <v>3236532</v>
          </cell>
          <cell r="B79" t="str">
            <v>TECNÓLOGO</v>
          </cell>
          <cell r="C79">
            <v>51</v>
          </cell>
          <cell r="D79" t="str">
            <v>DESARROLLO MULTIMEDIA Y WEB</v>
          </cell>
          <cell r="E79" t="str">
            <v>03/06/2025</v>
          </cell>
          <cell r="F79">
            <v>46448</v>
          </cell>
          <cell r="G79" t="str">
            <v>02/09/2027</v>
          </cell>
        </row>
        <row r="80">
          <cell r="A80">
            <v>3335698</v>
          </cell>
          <cell r="B80" t="str">
            <v>TECNÓLOGO</v>
          </cell>
          <cell r="C80">
            <v>47</v>
          </cell>
          <cell r="D80" t="str">
            <v>DESARROLLO DE MEDIOS GRAFICOS VISUALES</v>
          </cell>
          <cell r="E80" t="str">
            <v>29/09/2025</v>
          </cell>
          <cell r="F80">
            <v>46566</v>
          </cell>
          <cell r="G80" t="str">
            <v>28/12/2027</v>
          </cell>
        </row>
        <row r="81">
          <cell r="A81">
            <v>2834851</v>
          </cell>
          <cell r="B81" t="str">
            <v>TECNÓLOGO</v>
          </cell>
          <cell r="C81">
            <v>43</v>
          </cell>
          <cell r="D81" t="str">
            <v>ANALISIS Y DESARROLLO DE SOFTWARE.</v>
          </cell>
          <cell r="E81" t="str">
            <v>11/09/2023</v>
          </cell>
          <cell r="F81">
            <v>45818</v>
          </cell>
          <cell r="G81" t="str">
            <v>10/12/2025</v>
          </cell>
        </row>
        <row r="82">
          <cell r="A82">
            <v>3070323</v>
          </cell>
          <cell r="B82" t="str">
            <v>TECNÓLOGO</v>
          </cell>
          <cell r="C82">
            <v>40</v>
          </cell>
          <cell r="D82" t="str">
            <v>ANALISIS Y DESARROLLO DE SOFTWARE.</v>
          </cell>
          <cell r="E82" t="str">
            <v>16/09/2024</v>
          </cell>
          <cell r="F82">
            <v>46188</v>
          </cell>
          <cell r="G82" t="str">
            <v>15/12/2026</v>
          </cell>
        </row>
        <row r="83">
          <cell r="A83">
            <v>3070342</v>
          </cell>
          <cell r="B83" t="str">
            <v>TECNÓLOGO</v>
          </cell>
          <cell r="C83">
            <v>36</v>
          </cell>
          <cell r="D83" t="str">
            <v>COORDINACION DE PROCESOS LOGISTICOS</v>
          </cell>
          <cell r="E83" t="str">
            <v>16/09/2024</v>
          </cell>
          <cell r="F83">
            <v>46188</v>
          </cell>
          <cell r="G83" t="str">
            <v>15/12/2026</v>
          </cell>
        </row>
        <row r="84">
          <cell r="A84">
            <v>3070322</v>
          </cell>
          <cell r="B84" t="str">
            <v>TECNÓLOGO</v>
          </cell>
          <cell r="C84">
            <v>39</v>
          </cell>
          <cell r="D84" t="str">
            <v>ANALISIS Y DESARROLLO DE SOFTWARE.</v>
          </cell>
          <cell r="E84" t="str">
            <v>16/09/2024</v>
          </cell>
          <cell r="F84">
            <v>46188</v>
          </cell>
          <cell r="G84" t="str">
            <v>15/12/2026</v>
          </cell>
        </row>
        <row r="85">
          <cell r="A85">
            <v>3070315</v>
          </cell>
          <cell r="B85" t="str">
            <v>TECNÓLOGO</v>
          </cell>
          <cell r="C85">
            <v>39</v>
          </cell>
          <cell r="D85" t="str">
            <v>ANALISIS Y DESARROLLO DE SOFTWARE.</v>
          </cell>
          <cell r="E85" t="str">
            <v>16/09/2024</v>
          </cell>
          <cell r="F85">
            <v>46188</v>
          </cell>
          <cell r="G85" t="str">
            <v>15/12/2026</v>
          </cell>
        </row>
        <row r="86">
          <cell r="A86">
            <v>2834856</v>
          </cell>
          <cell r="B86" t="str">
            <v>TECNÓLOGO</v>
          </cell>
          <cell r="C86">
            <v>42</v>
          </cell>
          <cell r="D86" t="str">
            <v>ANALISIS Y DESARROLLO DE SOFTWARE.</v>
          </cell>
          <cell r="E86" t="str">
            <v>11/09/2023</v>
          </cell>
          <cell r="F86">
            <v>45818</v>
          </cell>
          <cell r="G86" t="str">
            <v>10/12/2025</v>
          </cell>
        </row>
        <row r="87">
          <cell r="A87">
            <v>2758230</v>
          </cell>
          <cell r="B87" t="str">
            <v>TECNÓLOGO</v>
          </cell>
          <cell r="C87">
            <v>15</v>
          </cell>
          <cell r="D87" t="str">
            <v>ANIMACION 3D.</v>
          </cell>
          <cell r="E87" t="str">
            <v>15/05/2023</v>
          </cell>
          <cell r="F87">
            <v>45702</v>
          </cell>
          <cell r="G87" t="str">
            <v>14/08/2025</v>
          </cell>
        </row>
        <row r="88">
          <cell r="A88">
            <v>2675717</v>
          </cell>
          <cell r="B88" t="str">
            <v>TECNÓLOGO</v>
          </cell>
          <cell r="C88">
            <v>6</v>
          </cell>
          <cell r="D88" t="str">
            <v>ANIMACION DIGITAL</v>
          </cell>
          <cell r="E88" t="str">
            <v>21/11/2022</v>
          </cell>
          <cell r="F88">
            <v>45524</v>
          </cell>
          <cell r="G88" t="str">
            <v>20/02/2025</v>
          </cell>
        </row>
        <row r="89">
          <cell r="A89">
            <v>2758190</v>
          </cell>
          <cell r="B89" t="str">
            <v>TECNÓLOGO</v>
          </cell>
          <cell r="C89">
            <v>34</v>
          </cell>
          <cell r="D89" t="str">
            <v>DESARROLLO DE MEDIOS GRAFICOS VISUALES</v>
          </cell>
          <cell r="E89" t="str">
            <v>15/05/2023</v>
          </cell>
          <cell r="F89">
            <v>45702</v>
          </cell>
          <cell r="G89" t="str">
            <v>14/08/2025</v>
          </cell>
        </row>
        <row r="90">
          <cell r="A90">
            <v>3070364</v>
          </cell>
          <cell r="B90" t="str">
            <v>TECNÓLOGO</v>
          </cell>
          <cell r="C90">
            <v>39</v>
          </cell>
          <cell r="D90" t="str">
            <v>DESARROLLO PUBLICITARIO</v>
          </cell>
          <cell r="E90" t="str">
            <v>16/09/2024</v>
          </cell>
          <cell r="F90">
            <v>46188</v>
          </cell>
          <cell r="G90" t="str">
            <v>15/12/2026</v>
          </cell>
        </row>
        <row r="91">
          <cell r="A91">
            <v>2675816</v>
          </cell>
          <cell r="B91" t="str">
            <v>TECNÓLOGO</v>
          </cell>
          <cell r="C91">
            <v>13</v>
          </cell>
          <cell r="D91" t="str">
            <v>ANALISIS Y DESARROLLO DE SOFTWARE.</v>
          </cell>
          <cell r="E91" t="str">
            <v>21/11/2022</v>
          </cell>
          <cell r="F91">
            <v>45524</v>
          </cell>
          <cell r="G91" t="str">
            <v>20/02/2025</v>
          </cell>
        </row>
        <row r="92">
          <cell r="A92">
            <v>3070361</v>
          </cell>
          <cell r="B92" t="str">
            <v>TECNÓLOGO</v>
          </cell>
          <cell r="C92">
            <v>39</v>
          </cell>
          <cell r="D92" t="str">
            <v>DESARROLLO PUBLICITARIO</v>
          </cell>
          <cell r="E92" t="str">
            <v>16/09/2024</v>
          </cell>
          <cell r="F92">
            <v>46188</v>
          </cell>
          <cell r="G92" t="str">
            <v>15/12/2026</v>
          </cell>
        </row>
        <row r="93">
          <cell r="A93">
            <v>2977747</v>
          </cell>
          <cell r="B93" t="str">
            <v>TECNÓLOGO</v>
          </cell>
          <cell r="C93">
            <v>41</v>
          </cell>
          <cell r="D93" t="str">
            <v>COORDINACION DE PROCESOS LOGISTICOS</v>
          </cell>
          <cell r="E93" t="str">
            <v>14/05/2024</v>
          </cell>
          <cell r="F93">
            <v>46066</v>
          </cell>
          <cell r="G93" t="str">
            <v>13/08/2026</v>
          </cell>
        </row>
        <row r="94">
          <cell r="A94">
            <v>2977755</v>
          </cell>
          <cell r="B94" t="str">
            <v>TECNÓLOGO</v>
          </cell>
          <cell r="C94">
            <v>39</v>
          </cell>
          <cell r="D94" t="str">
            <v>COORDINACION DE PROCESOS LOGISTICOS</v>
          </cell>
          <cell r="E94" t="str">
            <v>14/05/2024</v>
          </cell>
          <cell r="F94">
            <v>46066</v>
          </cell>
          <cell r="G94" t="str">
            <v>13/08/2026</v>
          </cell>
        </row>
        <row r="95">
          <cell r="A95">
            <v>2675758</v>
          </cell>
          <cell r="B95" t="str">
            <v>TECNÓLOGO</v>
          </cell>
          <cell r="C95">
            <v>14</v>
          </cell>
          <cell r="D95" t="str">
            <v>ANIMACION 3D.</v>
          </cell>
          <cell r="E95" t="str">
            <v>21/11/2022</v>
          </cell>
          <cell r="F95">
            <v>45524</v>
          </cell>
          <cell r="G95" t="str">
            <v>20/02/2025</v>
          </cell>
        </row>
        <row r="96">
          <cell r="A96">
            <v>2977461</v>
          </cell>
          <cell r="B96" t="str">
            <v>TECNÓLOGO</v>
          </cell>
          <cell r="C96">
            <v>39</v>
          </cell>
          <cell r="D96" t="str">
            <v>ANALISIS Y DESARROLLO DE SOFTWARE.</v>
          </cell>
          <cell r="E96" t="str">
            <v>14/05/2024</v>
          </cell>
          <cell r="F96">
            <v>46066</v>
          </cell>
          <cell r="G96" t="str">
            <v>13/08/2026</v>
          </cell>
        </row>
        <row r="97">
          <cell r="A97">
            <v>2675912</v>
          </cell>
          <cell r="B97" t="str">
            <v>TECNÓLOGO</v>
          </cell>
          <cell r="C97">
            <v>8</v>
          </cell>
          <cell r="D97" t="str">
            <v>DESARROLLO PUBLICITARIO</v>
          </cell>
          <cell r="E97" t="str">
            <v>21/11/2022</v>
          </cell>
          <cell r="F97">
            <v>45524</v>
          </cell>
          <cell r="G97" t="str">
            <v>20/02/2025</v>
          </cell>
        </row>
        <row r="98">
          <cell r="A98">
            <v>3185935</v>
          </cell>
          <cell r="B98" t="str">
            <v>TECNÓLOGO</v>
          </cell>
          <cell r="C98">
            <v>52</v>
          </cell>
          <cell r="D98" t="str">
            <v>COORDINACION DE PROCESOS LOGISTICOS</v>
          </cell>
          <cell r="E98" t="str">
            <v>31/03/2025</v>
          </cell>
          <cell r="F98">
            <v>46386</v>
          </cell>
          <cell r="G98" t="str">
            <v>30/06/2027</v>
          </cell>
        </row>
        <row r="99">
          <cell r="A99">
            <v>2977464</v>
          </cell>
          <cell r="B99" t="str">
            <v>TECNÓLOGO</v>
          </cell>
          <cell r="C99">
            <v>39</v>
          </cell>
          <cell r="D99" t="str">
            <v>ANALISIS Y DESARROLLO DE SOFTWARE.</v>
          </cell>
          <cell r="E99" t="str">
            <v>14/05/2024</v>
          </cell>
          <cell r="F99">
            <v>46066</v>
          </cell>
          <cell r="G99" t="str">
            <v>13/08/2026</v>
          </cell>
        </row>
        <row r="100">
          <cell r="A100">
            <v>3118498</v>
          </cell>
          <cell r="B100" t="str">
            <v>TECNÓLOGO</v>
          </cell>
          <cell r="C100">
            <v>44</v>
          </cell>
          <cell r="D100" t="str">
            <v>ANALISIS Y DESARROLLO DE SOFTWARE.</v>
          </cell>
          <cell r="E100" t="str">
            <v>18/11/2024</v>
          </cell>
          <cell r="F100">
            <v>46251</v>
          </cell>
          <cell r="G100" t="str">
            <v>17/02/2027</v>
          </cell>
        </row>
        <row r="101">
          <cell r="A101">
            <v>2977460</v>
          </cell>
          <cell r="B101" t="str">
            <v>TECNÓLOGO</v>
          </cell>
          <cell r="C101">
            <v>39</v>
          </cell>
          <cell r="D101" t="str">
            <v>ANALISIS Y DESARROLLO DE SOFTWARE.</v>
          </cell>
          <cell r="E101" t="str">
            <v>14/05/2024</v>
          </cell>
          <cell r="F101">
            <v>46066</v>
          </cell>
          <cell r="G101" t="str">
            <v>13/08/2026</v>
          </cell>
        </row>
        <row r="102">
          <cell r="A102">
            <v>2977136</v>
          </cell>
          <cell r="B102" t="str">
            <v>TECNÓLOGO</v>
          </cell>
          <cell r="C102">
            <v>38</v>
          </cell>
          <cell r="D102" t="str">
            <v>DESARROLLO MULTIMEDIA Y WEB</v>
          </cell>
          <cell r="E102" t="str">
            <v>14/05/2024</v>
          </cell>
          <cell r="F102">
            <v>46066</v>
          </cell>
          <cell r="G102" t="str">
            <v>13/08/2026</v>
          </cell>
        </row>
        <row r="103">
          <cell r="A103">
            <v>2977457</v>
          </cell>
          <cell r="B103" t="str">
            <v>TECNÓLOGO</v>
          </cell>
          <cell r="C103">
            <v>40</v>
          </cell>
          <cell r="D103" t="str">
            <v>ANALISIS Y DESARROLLO DE SOFTWARE.</v>
          </cell>
          <cell r="E103" t="str">
            <v>14/05/2024</v>
          </cell>
          <cell r="F103">
            <v>46066</v>
          </cell>
          <cell r="G103" t="str">
            <v>13/08/2026</v>
          </cell>
        </row>
        <row r="104">
          <cell r="A104">
            <v>2977637</v>
          </cell>
          <cell r="B104" t="str">
            <v>TECNÓLOGO</v>
          </cell>
          <cell r="C104">
            <v>38</v>
          </cell>
          <cell r="D104" t="str">
            <v>DESARROLLO PUBLICITARIO</v>
          </cell>
          <cell r="E104" t="str">
            <v>14/05/2024</v>
          </cell>
          <cell r="F104">
            <v>46066</v>
          </cell>
          <cell r="G104" t="str">
            <v>13/08/2026</v>
          </cell>
        </row>
        <row r="105">
          <cell r="A105">
            <v>3070296</v>
          </cell>
          <cell r="B105" t="str">
            <v>TECNÓLOGO</v>
          </cell>
          <cell r="C105">
            <v>40</v>
          </cell>
          <cell r="D105" t="str">
            <v>ANALISIS Y DESARROLLO DE SOFTWARE.</v>
          </cell>
          <cell r="E105" t="str">
            <v>16/09/2024</v>
          </cell>
          <cell r="F105">
            <v>46188</v>
          </cell>
          <cell r="G105" t="str">
            <v>15/12/2026</v>
          </cell>
        </row>
        <row r="106">
          <cell r="A106">
            <v>2977471</v>
          </cell>
          <cell r="B106" t="str">
            <v>TECNÓLOGO</v>
          </cell>
          <cell r="C106">
            <v>41</v>
          </cell>
          <cell r="D106" t="str">
            <v>ANALISIS Y DESARROLLO DE SOFTWARE.</v>
          </cell>
          <cell r="E106" t="str">
            <v>14/05/2024</v>
          </cell>
          <cell r="F106">
            <v>46066</v>
          </cell>
          <cell r="G106" t="str">
            <v>13/08/2026</v>
          </cell>
        </row>
        <row r="107">
          <cell r="A107">
            <v>3070343</v>
          </cell>
          <cell r="B107" t="str">
            <v>TECNÓLOGO</v>
          </cell>
          <cell r="C107">
            <v>43</v>
          </cell>
          <cell r="D107" t="str">
            <v>COORDINACION DE PROCESOS LOGISTICOS</v>
          </cell>
          <cell r="E107" t="str">
            <v>16/09/2024</v>
          </cell>
          <cell r="F107">
            <v>46188</v>
          </cell>
          <cell r="G107" t="str">
            <v>15/12/2026</v>
          </cell>
        </row>
        <row r="108">
          <cell r="A108">
            <v>3070344</v>
          </cell>
          <cell r="B108" t="str">
            <v>TECNÓLOGO</v>
          </cell>
          <cell r="C108">
            <v>41</v>
          </cell>
          <cell r="D108" t="str">
            <v>COORDINACION DE PROCESOS LOGISTICOS</v>
          </cell>
          <cell r="E108" t="str">
            <v>16/09/2024</v>
          </cell>
          <cell r="F108">
            <v>46188</v>
          </cell>
          <cell r="G108" t="str">
            <v>15/12/2026</v>
          </cell>
        </row>
        <row r="109">
          <cell r="A109">
            <v>2758333</v>
          </cell>
          <cell r="B109" t="str">
            <v>TECNÓLOGO</v>
          </cell>
          <cell r="C109">
            <v>20</v>
          </cell>
          <cell r="D109" t="str">
            <v>ANALISIS Y DESARROLLO DE SOFTWARE.</v>
          </cell>
          <cell r="E109" t="str">
            <v>15/05/2023</v>
          </cell>
          <cell r="F109">
            <v>45702</v>
          </cell>
          <cell r="G109" t="str">
            <v>14/08/2025</v>
          </cell>
        </row>
        <row r="110">
          <cell r="A110">
            <v>2977137</v>
          </cell>
          <cell r="B110" t="str">
            <v>TECNÓLOGO</v>
          </cell>
          <cell r="C110">
            <v>36</v>
          </cell>
          <cell r="D110" t="str">
            <v>DESARROLLO MULTIMEDIA Y WEB</v>
          </cell>
          <cell r="E110" t="str">
            <v>14/05/2024</v>
          </cell>
          <cell r="F110">
            <v>46066</v>
          </cell>
          <cell r="G110" t="str">
            <v>13/08/2026</v>
          </cell>
        </row>
        <row r="111">
          <cell r="A111">
            <v>2977138</v>
          </cell>
          <cell r="B111" t="str">
            <v>TECNÓLOGO</v>
          </cell>
          <cell r="C111">
            <v>35</v>
          </cell>
          <cell r="D111" t="str">
            <v>DESARROLLO MULTIMEDIA Y WEB</v>
          </cell>
          <cell r="E111" t="str">
            <v>14/05/2024</v>
          </cell>
          <cell r="F111">
            <v>46066</v>
          </cell>
          <cell r="G111" t="str">
            <v>13/08/2026</v>
          </cell>
        </row>
        <row r="112">
          <cell r="A112">
            <v>3069982</v>
          </cell>
          <cell r="B112" t="str">
            <v>TÉCNICO</v>
          </cell>
          <cell r="C112">
            <v>50</v>
          </cell>
          <cell r="D112" t="str">
            <v>SERVICIOS COMERCIALES Y FINANCIEROS</v>
          </cell>
          <cell r="E112" t="str">
            <v>16/09/2024</v>
          </cell>
          <cell r="F112">
            <v>45823</v>
          </cell>
          <cell r="G112" t="str">
            <v>15/12/2025</v>
          </cell>
        </row>
        <row r="113">
          <cell r="A113">
            <v>3235891</v>
          </cell>
          <cell r="B113" t="str">
            <v>TECNÓLOGO</v>
          </cell>
          <cell r="C113">
            <v>59</v>
          </cell>
          <cell r="D113" t="str">
            <v>ANALISIS Y DESARROLLO DE SOFTWARE.</v>
          </cell>
          <cell r="E113" t="str">
            <v>03/06/2025</v>
          </cell>
          <cell r="F113">
            <v>46448</v>
          </cell>
          <cell r="G113" t="str">
            <v>02/09/2027</v>
          </cell>
        </row>
        <row r="114">
          <cell r="A114">
            <v>3069983</v>
          </cell>
          <cell r="B114" t="str">
            <v>TÉCNICO</v>
          </cell>
          <cell r="C114">
            <v>50</v>
          </cell>
          <cell r="D114" t="str">
            <v>SERVICIOS COMERCIALES Y FINANCIEROS</v>
          </cell>
          <cell r="E114" t="str">
            <v>16/09/2024</v>
          </cell>
          <cell r="F114">
            <v>45823</v>
          </cell>
          <cell r="G114" t="str">
            <v>15/12/2025</v>
          </cell>
        </row>
        <row r="115">
          <cell r="A115">
            <v>2879546</v>
          </cell>
          <cell r="B115" t="str">
            <v>TECNÓLOGO</v>
          </cell>
          <cell r="C115">
            <v>37</v>
          </cell>
          <cell r="D115" t="str">
            <v>ANIMACION DIGITAL</v>
          </cell>
          <cell r="E115" t="str">
            <v>20/11/2023</v>
          </cell>
          <cell r="F115">
            <v>45888</v>
          </cell>
          <cell r="G115" t="str">
            <v>19/02/2026</v>
          </cell>
        </row>
        <row r="116">
          <cell r="A116">
            <v>3336466</v>
          </cell>
          <cell r="B116" t="str">
            <v>TECNÓLOGO</v>
          </cell>
          <cell r="C116">
            <v>46</v>
          </cell>
          <cell r="D116" t="str">
            <v>COORDINACION DE PROCESOS LOGISTICOS</v>
          </cell>
          <cell r="E116" t="str">
            <v>29/09/2025</v>
          </cell>
          <cell r="F116">
            <v>46566</v>
          </cell>
          <cell r="G116" t="str">
            <v>28/12/2027</v>
          </cell>
        </row>
        <row r="117">
          <cell r="A117">
            <v>2879610</v>
          </cell>
          <cell r="B117" t="str">
            <v>TECNÓLOGO</v>
          </cell>
          <cell r="C117">
            <v>37</v>
          </cell>
          <cell r="D117" t="str">
            <v>ANIMACION 3D.</v>
          </cell>
          <cell r="E117" t="str">
            <v>20/11/2023</v>
          </cell>
          <cell r="F117">
            <v>45888</v>
          </cell>
          <cell r="G117" t="str">
            <v>19/02/2026</v>
          </cell>
        </row>
        <row r="118">
          <cell r="A118">
            <v>2879839</v>
          </cell>
          <cell r="B118" t="str">
            <v>TECNÓLOGO</v>
          </cell>
          <cell r="C118">
            <v>33</v>
          </cell>
          <cell r="D118" t="str">
            <v>COORDINACION DE PROCESOS LOGISTICOS</v>
          </cell>
          <cell r="E118" t="str">
            <v>20/11/2023</v>
          </cell>
          <cell r="F118">
            <v>45888</v>
          </cell>
          <cell r="G118" t="str">
            <v>19/02/2026</v>
          </cell>
        </row>
        <row r="119">
          <cell r="A119">
            <v>2977759</v>
          </cell>
          <cell r="B119" t="str">
            <v>TECNÓLOGO</v>
          </cell>
          <cell r="C119">
            <v>39</v>
          </cell>
          <cell r="D119" t="str">
            <v>COORDINACION DE PROCESOS LOGISTICOS</v>
          </cell>
          <cell r="E119" t="str">
            <v>14/05/2024</v>
          </cell>
          <cell r="F119">
            <v>46066</v>
          </cell>
          <cell r="G119" t="str">
            <v>13/08/2026</v>
          </cell>
        </row>
        <row r="120">
          <cell r="A120">
            <v>3336285</v>
          </cell>
          <cell r="B120" t="str">
            <v>TÉCNICO</v>
          </cell>
          <cell r="C120">
            <v>56</v>
          </cell>
          <cell r="D120" t="str">
            <v>ASESORIA COMERCIAL</v>
          </cell>
          <cell r="E120" t="str">
            <v>29/09/2025</v>
          </cell>
          <cell r="F120">
            <v>46201</v>
          </cell>
          <cell r="G120" t="str">
            <v>28/12/2026</v>
          </cell>
        </row>
        <row r="121">
          <cell r="A121">
            <v>3336469</v>
          </cell>
          <cell r="B121" t="str">
            <v>TECNÓLOGO</v>
          </cell>
          <cell r="C121">
            <v>47</v>
          </cell>
          <cell r="D121" t="str">
            <v>COORDINACION DE PROCESOS LOGISTICOS</v>
          </cell>
          <cell r="E121" t="str">
            <v>29/09/2025</v>
          </cell>
          <cell r="F121">
            <v>46566</v>
          </cell>
          <cell r="G121" t="str">
            <v>28/12/2027</v>
          </cell>
        </row>
        <row r="122">
          <cell r="A122">
            <v>2879840</v>
          </cell>
          <cell r="B122" t="str">
            <v>TECNÓLOGO</v>
          </cell>
          <cell r="C122">
            <v>40</v>
          </cell>
          <cell r="D122" t="str">
            <v>COORDINACION DE PROCESOS LOGISTICOS</v>
          </cell>
          <cell r="E122" t="str">
            <v>20/11/2023</v>
          </cell>
          <cell r="F122">
            <v>45888</v>
          </cell>
          <cell r="G122" t="str">
            <v>19/02/2026</v>
          </cell>
        </row>
        <row r="123">
          <cell r="A123">
            <v>2879754</v>
          </cell>
          <cell r="B123" t="str">
            <v>TÉCNICO</v>
          </cell>
          <cell r="C123">
            <v>52</v>
          </cell>
          <cell r="D123" t="str">
            <v>CONTABILIZACION DE OPERACIONES COMERCIALES Y FINANCIERAS.</v>
          </cell>
          <cell r="E123" t="str">
            <v>20/11/2023</v>
          </cell>
          <cell r="F123">
            <v>45523</v>
          </cell>
          <cell r="G123" t="str">
            <v>19/02/2025</v>
          </cell>
        </row>
        <row r="124">
          <cell r="A124">
            <v>3235975</v>
          </cell>
          <cell r="B124" t="str">
            <v>TECNÓLOGO</v>
          </cell>
          <cell r="C124">
            <v>71</v>
          </cell>
          <cell r="D124" t="str">
            <v>COORDINACION DE PROCESOS LOGISTICOS</v>
          </cell>
          <cell r="E124" t="str">
            <v>03/06/2025</v>
          </cell>
          <cell r="F124">
            <v>46448</v>
          </cell>
          <cell r="G124" t="str">
            <v>02/09/2027</v>
          </cell>
        </row>
        <row r="125">
          <cell r="A125">
            <v>2879699</v>
          </cell>
          <cell r="B125" t="str">
            <v>TECNÓLOGO</v>
          </cell>
          <cell r="C125">
            <v>42</v>
          </cell>
          <cell r="D125" t="str">
            <v>ANALISIS Y DESARROLLO DE SOFTWARE.</v>
          </cell>
          <cell r="E125" t="str">
            <v>20/11/2023</v>
          </cell>
          <cell r="F125">
            <v>45888</v>
          </cell>
          <cell r="G125" t="str">
            <v>19/02/2026</v>
          </cell>
        </row>
        <row r="126">
          <cell r="A126">
            <v>2879693</v>
          </cell>
          <cell r="B126" t="str">
            <v>TECNÓLOGO</v>
          </cell>
          <cell r="C126">
            <v>22</v>
          </cell>
          <cell r="D126" t="str">
            <v>ANALISIS Y DESARROLLO DE SOFTWARE.</v>
          </cell>
          <cell r="E126" t="str">
            <v>20/11/2023</v>
          </cell>
          <cell r="F126">
            <v>45888</v>
          </cell>
          <cell r="G126" t="str">
            <v>19/02/2026</v>
          </cell>
        </row>
        <row r="127">
          <cell r="A127">
            <v>2977636</v>
          </cell>
          <cell r="B127" t="str">
            <v>TECNÓLOGO</v>
          </cell>
          <cell r="C127">
            <v>37</v>
          </cell>
          <cell r="D127" t="str">
            <v>DESARROLLO PUBLICITARIO</v>
          </cell>
          <cell r="E127" t="str">
            <v>14/05/2024</v>
          </cell>
          <cell r="F127">
            <v>46066</v>
          </cell>
          <cell r="G127" t="str">
            <v>13/08/2026</v>
          </cell>
        </row>
        <row r="128">
          <cell r="A128">
            <v>2879698</v>
          </cell>
          <cell r="B128" t="str">
            <v>TECNÓLOGO</v>
          </cell>
          <cell r="C128">
            <v>43</v>
          </cell>
          <cell r="D128" t="str">
            <v>ANALISIS Y DESARROLLO DE SOFTWARE.</v>
          </cell>
          <cell r="E128" t="str">
            <v>20/11/2023</v>
          </cell>
          <cell r="F128">
            <v>45888</v>
          </cell>
          <cell r="G128" t="str">
            <v>19/02/2026</v>
          </cell>
        </row>
        <row r="129">
          <cell r="A129">
            <v>2879572</v>
          </cell>
          <cell r="B129" t="str">
            <v>TECNÓLOGO</v>
          </cell>
          <cell r="C129">
            <v>37</v>
          </cell>
          <cell r="D129" t="str">
            <v>DESARROLLO DE MEDIOS GRAFICOS VISUALES</v>
          </cell>
          <cell r="E129" t="str">
            <v>20/11/2023</v>
          </cell>
          <cell r="F129">
            <v>45888</v>
          </cell>
          <cell r="G129" t="str">
            <v>19/02/2026</v>
          </cell>
        </row>
        <row r="130">
          <cell r="A130">
            <v>2879841</v>
          </cell>
          <cell r="B130" t="str">
            <v>TECNÓLOGO</v>
          </cell>
          <cell r="C130">
            <v>36</v>
          </cell>
          <cell r="D130" t="str">
            <v>COORDINACION DE PROCESOS LOGISTICOS</v>
          </cell>
          <cell r="E130" t="str">
            <v>20/11/2023</v>
          </cell>
          <cell r="F130">
            <v>45888</v>
          </cell>
          <cell r="G130" t="str">
            <v>19/02/2026</v>
          </cell>
        </row>
        <row r="131">
          <cell r="A131">
            <v>2879609</v>
          </cell>
          <cell r="B131" t="str">
            <v>TECNÓLOGO</v>
          </cell>
          <cell r="C131">
            <v>42</v>
          </cell>
          <cell r="D131" t="str">
            <v>ANIMACION 3D.</v>
          </cell>
          <cell r="E131" t="str">
            <v>20/11/2023</v>
          </cell>
          <cell r="F131">
            <v>45888</v>
          </cell>
          <cell r="G131" t="str">
            <v>19/02/2026</v>
          </cell>
        </row>
        <row r="132">
          <cell r="A132">
            <v>2977228</v>
          </cell>
          <cell r="B132" t="str">
            <v>TECNÓLOGO</v>
          </cell>
          <cell r="C132">
            <v>44</v>
          </cell>
          <cell r="D132" t="str">
            <v>DESARROLLO DE MEDIOS GRAFICOS VISUALES</v>
          </cell>
          <cell r="E132" t="str">
            <v>14/05/2024</v>
          </cell>
          <cell r="F132">
            <v>46066</v>
          </cell>
          <cell r="G132" t="str">
            <v>13/08/2026</v>
          </cell>
        </row>
        <row r="133">
          <cell r="A133">
            <v>2879835</v>
          </cell>
          <cell r="B133" t="str">
            <v>TECNÓLOGO</v>
          </cell>
          <cell r="C133">
            <v>36</v>
          </cell>
          <cell r="D133" t="str">
            <v>COORDINACION DE PROCESOS LOGISTICOS</v>
          </cell>
          <cell r="E133" t="str">
            <v>20/11/2023</v>
          </cell>
          <cell r="F133">
            <v>45888</v>
          </cell>
          <cell r="G133" t="str">
            <v>19/02/2026</v>
          </cell>
        </row>
        <row r="134">
          <cell r="A134">
            <v>2879846</v>
          </cell>
          <cell r="B134" t="str">
            <v>TECNÓLOGO</v>
          </cell>
          <cell r="C134">
            <v>37</v>
          </cell>
          <cell r="D134" t="str">
            <v>COORDINACION DE PROCESOS LOGISTICOS</v>
          </cell>
          <cell r="E134" t="str">
            <v>20/11/2023</v>
          </cell>
          <cell r="F134">
            <v>45888</v>
          </cell>
          <cell r="G134" t="str">
            <v>19/02/2026</v>
          </cell>
        </row>
        <row r="135">
          <cell r="A135">
            <v>2675911</v>
          </cell>
          <cell r="B135" t="str">
            <v>TECNÓLOGO</v>
          </cell>
          <cell r="C135">
            <v>38</v>
          </cell>
          <cell r="D135" t="str">
            <v>DESARROLLO PUBLICITARIO</v>
          </cell>
          <cell r="E135" t="str">
            <v>21/11/2022</v>
          </cell>
          <cell r="F135">
            <v>45524</v>
          </cell>
          <cell r="G135" t="str">
            <v>20/02/2025</v>
          </cell>
        </row>
        <row r="136">
          <cell r="A136">
            <v>3185930</v>
          </cell>
          <cell r="B136" t="str">
            <v>TECNÓLOGO</v>
          </cell>
          <cell r="C136">
            <v>61</v>
          </cell>
          <cell r="D136" t="str">
            <v>COORDINACION DE PROCESOS LOGISTICOS</v>
          </cell>
          <cell r="E136" t="str">
            <v>31/03/2025</v>
          </cell>
          <cell r="F136">
            <v>46386</v>
          </cell>
          <cell r="G136" t="str">
            <v>30/06/2027</v>
          </cell>
        </row>
        <row r="137">
          <cell r="A137">
            <v>2675745</v>
          </cell>
          <cell r="B137" t="str">
            <v>TECNÓLOGO</v>
          </cell>
          <cell r="C137">
            <v>10</v>
          </cell>
          <cell r="D137" t="str">
            <v>DESARROLLO DE MEDIOS GRAFICOS VISUALES</v>
          </cell>
          <cell r="E137" t="str">
            <v>21/11/2022</v>
          </cell>
          <cell r="F137">
            <v>45524</v>
          </cell>
          <cell r="G137" t="str">
            <v>20/02/2025</v>
          </cell>
        </row>
        <row r="138">
          <cell r="A138">
            <v>2879844</v>
          </cell>
          <cell r="B138" t="str">
            <v>TECNÓLOGO</v>
          </cell>
          <cell r="C138">
            <v>35</v>
          </cell>
          <cell r="D138" t="str">
            <v>COORDINACION DE PROCESOS LOGISTICOS</v>
          </cell>
          <cell r="E138" t="str">
            <v>20/11/2023</v>
          </cell>
          <cell r="F138">
            <v>45888</v>
          </cell>
          <cell r="G138" t="str">
            <v>19/02/2026</v>
          </cell>
        </row>
        <row r="139">
          <cell r="A139">
            <v>2879691</v>
          </cell>
          <cell r="B139" t="str">
            <v>TECNÓLOGO</v>
          </cell>
          <cell r="C139">
            <v>26</v>
          </cell>
          <cell r="D139" t="str">
            <v>ANALISIS Y DESARROLLO DE SOFTWARE.</v>
          </cell>
          <cell r="E139" t="str">
            <v>20/11/2023</v>
          </cell>
          <cell r="F139">
            <v>45888</v>
          </cell>
          <cell r="G139" t="str">
            <v>19/02/2026</v>
          </cell>
        </row>
        <row r="140">
          <cell r="A140">
            <v>3336464</v>
          </cell>
          <cell r="B140" t="str">
            <v>TECNÓLOGO</v>
          </cell>
          <cell r="C140">
            <v>53</v>
          </cell>
          <cell r="D140" t="str">
            <v>COORDINACION DE PROCESOS LOGISTICOS</v>
          </cell>
          <cell r="E140" t="str">
            <v>29/09/2025</v>
          </cell>
          <cell r="F140">
            <v>46566</v>
          </cell>
          <cell r="G140" t="str">
            <v>28/12/2027</v>
          </cell>
        </row>
        <row r="141">
          <cell r="A141">
            <v>3185934</v>
          </cell>
          <cell r="B141" t="str">
            <v>TECNÓLOGO</v>
          </cell>
          <cell r="C141">
            <v>47</v>
          </cell>
          <cell r="D141" t="str">
            <v>COORDINACION DE PROCESOS LOGISTICOS</v>
          </cell>
          <cell r="E141" t="str">
            <v>31/03/2025</v>
          </cell>
          <cell r="F141">
            <v>46386</v>
          </cell>
          <cell r="G141" t="str">
            <v>30/06/2027</v>
          </cell>
        </row>
        <row r="142">
          <cell r="A142">
            <v>2879692</v>
          </cell>
          <cell r="B142" t="str">
            <v>TECNÓLOGO</v>
          </cell>
          <cell r="C142">
            <v>26</v>
          </cell>
          <cell r="D142" t="str">
            <v>ANALISIS Y DESARROLLO DE SOFTWARE.</v>
          </cell>
          <cell r="E142" t="str">
            <v>20/11/2023</v>
          </cell>
          <cell r="F142">
            <v>45888</v>
          </cell>
          <cell r="G142" t="str">
            <v>19/02/2026</v>
          </cell>
        </row>
        <row r="143">
          <cell r="A143">
            <v>2879690</v>
          </cell>
          <cell r="B143" t="str">
            <v>TECNÓLOGO</v>
          </cell>
          <cell r="C143">
            <v>17</v>
          </cell>
          <cell r="D143" t="str">
            <v>ANALISIS Y DESARROLLO DE SOFTWARE.</v>
          </cell>
          <cell r="E143" t="str">
            <v>20/11/2023</v>
          </cell>
          <cell r="F143">
            <v>45888</v>
          </cell>
          <cell r="G143" t="str">
            <v>19/02/2026</v>
          </cell>
        </row>
        <row r="144">
          <cell r="A144">
            <v>2879842</v>
          </cell>
          <cell r="B144" t="str">
            <v>TECNÓLOGO</v>
          </cell>
          <cell r="C144">
            <v>50</v>
          </cell>
          <cell r="D144" t="str">
            <v>COORDINACION DE PROCESOS LOGISTICOS</v>
          </cell>
          <cell r="E144" t="str">
            <v>20/11/2023</v>
          </cell>
          <cell r="F144">
            <v>45888</v>
          </cell>
          <cell r="G144" t="str">
            <v>19/02/2026</v>
          </cell>
        </row>
        <row r="145">
          <cell r="A145">
            <v>2977468</v>
          </cell>
          <cell r="B145" t="str">
            <v>TECNÓLOGO</v>
          </cell>
          <cell r="C145">
            <v>40</v>
          </cell>
          <cell r="D145" t="str">
            <v>ANALISIS Y DESARROLLO DE SOFTWARE.</v>
          </cell>
          <cell r="E145" t="str">
            <v>14/05/2024</v>
          </cell>
          <cell r="F145">
            <v>46066</v>
          </cell>
          <cell r="G145" t="str">
            <v>13/08/2026</v>
          </cell>
        </row>
        <row r="146">
          <cell r="A146">
            <v>2977469</v>
          </cell>
          <cell r="B146" t="str">
            <v>TECNÓLOGO</v>
          </cell>
          <cell r="C146">
            <v>42</v>
          </cell>
          <cell r="D146" t="str">
            <v>ANALISIS Y DESARROLLO DE SOFTWARE.</v>
          </cell>
          <cell r="E146" t="str">
            <v>14/05/2024</v>
          </cell>
          <cell r="F146">
            <v>46066</v>
          </cell>
          <cell r="G146" t="str">
            <v>13/08/2026</v>
          </cell>
        </row>
        <row r="147">
          <cell r="A147">
            <v>2977466</v>
          </cell>
          <cell r="B147" t="str">
            <v>TECNÓLOGO</v>
          </cell>
          <cell r="C147">
            <v>41</v>
          </cell>
          <cell r="D147" t="str">
            <v>ANALISIS Y DESARROLLO DE SOFTWARE.</v>
          </cell>
          <cell r="E147" t="str">
            <v>14/05/2024</v>
          </cell>
          <cell r="F147">
            <v>46066</v>
          </cell>
          <cell r="G147" t="str">
            <v>13/08/2026</v>
          </cell>
        </row>
        <row r="148">
          <cell r="A148">
            <v>2977761</v>
          </cell>
          <cell r="B148" t="str">
            <v>TECNÓLOGO</v>
          </cell>
          <cell r="C148">
            <v>44</v>
          </cell>
          <cell r="D148" t="str">
            <v>COORDINACION DE PROCESOS LOGISTICOS</v>
          </cell>
          <cell r="E148" t="str">
            <v>14/05/2024</v>
          </cell>
          <cell r="F148">
            <v>46066</v>
          </cell>
          <cell r="G148" t="str">
            <v>13/08/2026</v>
          </cell>
        </row>
        <row r="149">
          <cell r="A149">
            <v>2977229</v>
          </cell>
          <cell r="B149" t="str">
            <v>TECNÓLOGO</v>
          </cell>
          <cell r="C149">
            <v>43</v>
          </cell>
          <cell r="D149" t="str">
            <v>DESARROLLO DE MEDIOS GRAFICOS VISUALES</v>
          </cell>
          <cell r="E149" t="str">
            <v>14/05/2024</v>
          </cell>
          <cell r="F149">
            <v>46066</v>
          </cell>
          <cell r="G149" t="str">
            <v>13/08/2026</v>
          </cell>
        </row>
        <row r="150">
          <cell r="A150">
            <v>2879843</v>
          </cell>
          <cell r="B150" t="str">
            <v>TECNÓLOGO</v>
          </cell>
          <cell r="C150">
            <v>41</v>
          </cell>
          <cell r="D150" t="str">
            <v>COORDINACION DE PROCESOS LOGISTICOS</v>
          </cell>
          <cell r="E150" t="str">
            <v>20/11/2023</v>
          </cell>
          <cell r="F150">
            <v>45888</v>
          </cell>
          <cell r="G150" t="str">
            <v>19/02/2026</v>
          </cell>
        </row>
        <row r="151">
          <cell r="A151">
            <v>2977763</v>
          </cell>
          <cell r="B151" t="str">
            <v>TECNÓLOGO</v>
          </cell>
          <cell r="C151">
            <v>44</v>
          </cell>
          <cell r="D151" t="str">
            <v>COORDINACION DE PROCESOS LOGISTICOS</v>
          </cell>
          <cell r="E151" t="str">
            <v>14/05/2024</v>
          </cell>
          <cell r="F151">
            <v>46066</v>
          </cell>
          <cell r="G151" t="str">
            <v>13/08/2026</v>
          </cell>
        </row>
        <row r="152">
          <cell r="A152">
            <v>2879849</v>
          </cell>
          <cell r="B152" t="str">
            <v>TECNÓLOGO</v>
          </cell>
          <cell r="C152">
            <v>39</v>
          </cell>
          <cell r="D152" t="str">
            <v>COORDINACION DE PROCESOS LOGISTICOS</v>
          </cell>
          <cell r="E152" t="str">
            <v>20/11/2023</v>
          </cell>
          <cell r="F152">
            <v>45888</v>
          </cell>
          <cell r="G152" t="str">
            <v>19/02/2026</v>
          </cell>
        </row>
        <row r="153">
          <cell r="A153">
            <v>2977745</v>
          </cell>
          <cell r="B153" t="str">
            <v>TECNÓLOGO</v>
          </cell>
          <cell r="C153">
            <v>42</v>
          </cell>
          <cell r="D153" t="str">
            <v>COORDINACION DE PROCESOS LOGISTICOS</v>
          </cell>
          <cell r="E153" t="str">
            <v>14/05/2024</v>
          </cell>
          <cell r="F153">
            <v>46066</v>
          </cell>
          <cell r="G153" t="str">
            <v>13/08/2026</v>
          </cell>
        </row>
        <row r="154">
          <cell r="A154">
            <v>2977748</v>
          </cell>
          <cell r="B154" t="str">
            <v>TECNÓLOGO</v>
          </cell>
          <cell r="C154">
            <v>42</v>
          </cell>
          <cell r="D154" t="str">
            <v>COORDINACION DE PROCESOS LOGISTICOS</v>
          </cell>
          <cell r="E154" t="str">
            <v>14/05/2024</v>
          </cell>
          <cell r="F154">
            <v>46066</v>
          </cell>
          <cell r="G154" t="str">
            <v>13/08/2026</v>
          </cell>
        </row>
        <row r="155">
          <cell r="A155">
            <v>2879696</v>
          </cell>
          <cell r="B155" t="str">
            <v>TECNÓLOGO</v>
          </cell>
          <cell r="C155">
            <v>39</v>
          </cell>
          <cell r="D155" t="str">
            <v>ANALISIS Y DESARROLLO DE SOFTWARE.</v>
          </cell>
          <cell r="E155" t="str">
            <v>20/11/2023</v>
          </cell>
          <cell r="F155">
            <v>45888</v>
          </cell>
          <cell r="G155" t="str">
            <v>19/02/2026</v>
          </cell>
        </row>
        <row r="156">
          <cell r="A156">
            <v>2879689</v>
          </cell>
          <cell r="B156" t="str">
            <v>TECNÓLOGO</v>
          </cell>
          <cell r="C156">
            <v>27</v>
          </cell>
          <cell r="D156" t="str">
            <v>ANALISIS Y DESARROLLO DE SOFTWARE.</v>
          </cell>
          <cell r="E156" t="str">
            <v>20/11/2023</v>
          </cell>
          <cell r="F156">
            <v>45888</v>
          </cell>
          <cell r="G156" t="str">
            <v>19/02/2026</v>
          </cell>
        </row>
        <row r="157">
          <cell r="A157">
            <v>2675828</v>
          </cell>
          <cell r="B157" t="str">
            <v>TECNÓLOGO</v>
          </cell>
          <cell r="C157">
            <v>32</v>
          </cell>
          <cell r="D157" t="str">
            <v>ANALISIS Y DESARROLLO DE SOFTWARE.</v>
          </cell>
          <cell r="E157" t="str">
            <v>21/11/2022</v>
          </cell>
          <cell r="F157">
            <v>45524</v>
          </cell>
          <cell r="G157" t="str">
            <v>20/02/2025</v>
          </cell>
        </row>
        <row r="158">
          <cell r="A158">
            <v>2977226</v>
          </cell>
          <cell r="B158" t="str">
            <v>TECNÓLOGO</v>
          </cell>
          <cell r="C158">
            <v>31</v>
          </cell>
          <cell r="D158" t="str">
            <v>DESARROLLO DE MEDIOS GRAFICOS VISUALES</v>
          </cell>
          <cell r="E158" t="str">
            <v>14/05/2024</v>
          </cell>
          <cell r="F158">
            <v>46066</v>
          </cell>
          <cell r="G158" t="str">
            <v>13/08/2026</v>
          </cell>
        </row>
        <row r="159">
          <cell r="A159">
            <v>3070351</v>
          </cell>
          <cell r="B159" t="str">
            <v>TECNÓLOGO</v>
          </cell>
          <cell r="C159">
            <v>38</v>
          </cell>
          <cell r="D159" t="str">
            <v>DESARROLLO DE MEDIOS GRAFICOS VISUALES</v>
          </cell>
          <cell r="E159" t="str">
            <v>16/09/2024</v>
          </cell>
          <cell r="F159">
            <v>46188</v>
          </cell>
          <cell r="G159" t="str">
            <v>15/12/2026</v>
          </cell>
        </row>
        <row r="160">
          <cell r="A160">
            <v>3070350</v>
          </cell>
          <cell r="B160" t="str">
            <v>TECNÓLOGO</v>
          </cell>
          <cell r="C160">
            <v>37</v>
          </cell>
          <cell r="D160" t="str">
            <v>DESARROLLO DE MEDIOS GRAFICOS VISUALES</v>
          </cell>
          <cell r="E160" t="str">
            <v>16/09/2024</v>
          </cell>
          <cell r="F160">
            <v>46188</v>
          </cell>
          <cell r="G160" t="str">
            <v>15/12/2026</v>
          </cell>
        </row>
        <row r="161">
          <cell r="A161">
            <v>2977741</v>
          </cell>
          <cell r="B161" t="str">
            <v>TECNÓLOGO</v>
          </cell>
          <cell r="C161">
            <v>38</v>
          </cell>
          <cell r="D161" t="str">
            <v>COORDINACION DE PROCESOS LOGISTICOS</v>
          </cell>
          <cell r="E161" t="str">
            <v>14/05/2024</v>
          </cell>
          <cell r="F161">
            <v>46066</v>
          </cell>
          <cell r="G161" t="str">
            <v>13/08/2026</v>
          </cell>
        </row>
        <row r="162">
          <cell r="A162">
            <v>2977756</v>
          </cell>
          <cell r="B162" t="str">
            <v>TECNÓLOGO</v>
          </cell>
          <cell r="C162">
            <v>47</v>
          </cell>
          <cell r="D162" t="str">
            <v>COORDINACION DE PROCESOS LOGISTICOS</v>
          </cell>
          <cell r="E162" t="str">
            <v>14/05/2024</v>
          </cell>
          <cell r="F162">
            <v>46066</v>
          </cell>
          <cell r="G162" t="str">
            <v>13/08/2026</v>
          </cell>
        </row>
        <row r="163">
          <cell r="A163">
            <v>2675831</v>
          </cell>
          <cell r="B163" t="str">
            <v>TECNÓLOGO</v>
          </cell>
          <cell r="C163">
            <v>3</v>
          </cell>
          <cell r="D163" t="str">
            <v>ANALISIS Y DESARROLLO DE SOFTWARE.</v>
          </cell>
          <cell r="E163" t="str">
            <v>21/11/2022</v>
          </cell>
          <cell r="F163">
            <v>45524</v>
          </cell>
          <cell r="G163" t="str">
            <v>20/02/2025</v>
          </cell>
        </row>
        <row r="164">
          <cell r="A164">
            <v>2977757</v>
          </cell>
          <cell r="B164" t="str">
            <v>TECNÓLOGO</v>
          </cell>
          <cell r="C164">
            <v>35</v>
          </cell>
          <cell r="D164" t="str">
            <v>COORDINACION DE PROCESOS LOGISTICOS</v>
          </cell>
          <cell r="E164" t="str">
            <v>14/05/2024</v>
          </cell>
          <cell r="F164">
            <v>46066</v>
          </cell>
          <cell r="G164" t="str">
            <v>13/08/2026</v>
          </cell>
        </row>
        <row r="165">
          <cell r="A165">
            <v>2977470</v>
          </cell>
          <cell r="B165" t="str">
            <v>TECNÓLOGO</v>
          </cell>
          <cell r="C165">
            <v>42</v>
          </cell>
          <cell r="D165" t="str">
            <v>ANALISIS Y DESARROLLO DE SOFTWARE.</v>
          </cell>
          <cell r="E165" t="str">
            <v>14/05/2024</v>
          </cell>
          <cell r="F165">
            <v>46066</v>
          </cell>
          <cell r="G165" t="str">
            <v>13/08/2026</v>
          </cell>
        </row>
        <row r="166">
          <cell r="A166">
            <v>2977764</v>
          </cell>
          <cell r="B166" t="str">
            <v>TECNÓLOGO</v>
          </cell>
          <cell r="C166">
            <v>37</v>
          </cell>
          <cell r="D166" t="str">
            <v>COORDINACION DE PROCESOS LOGISTICOS</v>
          </cell>
          <cell r="E166" t="str">
            <v>14/05/2024</v>
          </cell>
          <cell r="F166">
            <v>46066</v>
          </cell>
          <cell r="G166" t="str">
            <v>13/08/2026</v>
          </cell>
        </row>
        <row r="167">
          <cell r="A167">
            <v>2675759</v>
          </cell>
          <cell r="B167" t="str">
            <v>TECNÓLOGO</v>
          </cell>
          <cell r="C167">
            <v>10</v>
          </cell>
          <cell r="D167" t="str">
            <v>ANIMACION 3D.</v>
          </cell>
          <cell r="E167" t="str">
            <v>21/11/2022</v>
          </cell>
          <cell r="F167">
            <v>45524</v>
          </cell>
          <cell r="G167" t="str">
            <v>20/02/2025</v>
          </cell>
        </row>
        <row r="168">
          <cell r="A168">
            <v>2675817</v>
          </cell>
          <cell r="B168" t="str">
            <v>TECNÓLOGO</v>
          </cell>
          <cell r="C168">
            <v>10</v>
          </cell>
          <cell r="D168" t="str">
            <v>ANALISIS Y DESARROLLO DE SOFTWARE.</v>
          </cell>
          <cell r="E168" t="str">
            <v>21/11/2022</v>
          </cell>
          <cell r="F168">
            <v>45524</v>
          </cell>
          <cell r="G168" t="str">
            <v>20/02/2025</v>
          </cell>
        </row>
        <row r="169">
          <cell r="A169">
            <v>2675822</v>
          </cell>
          <cell r="B169" t="str">
            <v>TECNÓLOGO</v>
          </cell>
          <cell r="C169">
            <v>13</v>
          </cell>
          <cell r="D169" t="str">
            <v>ANALISIS Y DESARROLLO DE SOFTWARE.</v>
          </cell>
          <cell r="E169" t="str">
            <v>21/11/2022</v>
          </cell>
          <cell r="F169">
            <v>45524</v>
          </cell>
          <cell r="G169" t="str">
            <v>20/02/2025</v>
          </cell>
        </row>
        <row r="170">
          <cell r="A170">
            <v>2675827</v>
          </cell>
          <cell r="B170" t="str">
            <v>TECNÓLOGO</v>
          </cell>
          <cell r="C170">
            <v>43</v>
          </cell>
          <cell r="D170" t="str">
            <v>ANALISIS Y DESARROLLO DE SOFTWARE.</v>
          </cell>
          <cell r="E170" t="str">
            <v>21/11/2022</v>
          </cell>
          <cell r="F170">
            <v>45524</v>
          </cell>
          <cell r="G170" t="str">
            <v>20/02/2025</v>
          </cell>
        </row>
        <row r="171">
          <cell r="A171">
            <v>2977459</v>
          </cell>
          <cell r="B171" t="str">
            <v>TECNÓLOGO</v>
          </cell>
          <cell r="C171">
            <v>37</v>
          </cell>
          <cell r="D171" t="str">
            <v>ANALISIS Y DESARROLLO DE SOFTWARE.</v>
          </cell>
          <cell r="E171" t="str">
            <v>14/05/2024</v>
          </cell>
          <cell r="F171">
            <v>46066</v>
          </cell>
          <cell r="G171" t="str">
            <v>13/08/2026</v>
          </cell>
        </row>
        <row r="172">
          <cell r="A172">
            <v>2675823</v>
          </cell>
          <cell r="B172" t="str">
            <v>TECNÓLOGO</v>
          </cell>
          <cell r="C172">
            <v>16</v>
          </cell>
          <cell r="D172" t="str">
            <v>ANALISIS Y DESARROLLO DE SOFTWARE.</v>
          </cell>
          <cell r="E172" t="str">
            <v>21/11/2022</v>
          </cell>
          <cell r="F172">
            <v>45524</v>
          </cell>
          <cell r="G172" t="str">
            <v>20/02/2025</v>
          </cell>
        </row>
        <row r="173">
          <cell r="A173">
            <v>2675829</v>
          </cell>
          <cell r="B173" t="str">
            <v>TECNÓLOGO</v>
          </cell>
          <cell r="C173">
            <v>6</v>
          </cell>
          <cell r="D173" t="str">
            <v>ANALISIS Y DESARROLLO DE SOFTWARE.</v>
          </cell>
          <cell r="E173" t="str">
            <v>21/11/2022</v>
          </cell>
          <cell r="F173">
            <v>45524</v>
          </cell>
          <cell r="G173" t="str">
            <v>20/02/2025</v>
          </cell>
        </row>
        <row r="174">
          <cell r="A174">
            <v>2675832</v>
          </cell>
          <cell r="B174" t="str">
            <v>TECNÓLOGO</v>
          </cell>
          <cell r="C174">
            <v>12</v>
          </cell>
          <cell r="D174" t="str">
            <v>ANALISIS Y DESARROLLO DE SOFTWARE.</v>
          </cell>
          <cell r="E174" t="str">
            <v>21/11/2022</v>
          </cell>
          <cell r="F174">
            <v>45524</v>
          </cell>
          <cell r="G174" t="str">
            <v>20/02/2025</v>
          </cell>
        </row>
        <row r="175">
          <cell r="A175">
            <v>2977473</v>
          </cell>
          <cell r="B175" t="str">
            <v>TECNÓLOGO</v>
          </cell>
          <cell r="C175">
            <v>41</v>
          </cell>
          <cell r="D175" t="str">
            <v>ANALISIS Y DESARROLLO DE SOFTWARE.</v>
          </cell>
          <cell r="E175" t="str">
            <v>14/05/2024</v>
          </cell>
          <cell r="F175">
            <v>46066</v>
          </cell>
          <cell r="G175" t="str">
            <v>13/08/2026</v>
          </cell>
        </row>
        <row r="176">
          <cell r="A176">
            <v>2977467</v>
          </cell>
          <cell r="B176" t="str">
            <v>TECNÓLOGO</v>
          </cell>
          <cell r="C176">
            <v>40</v>
          </cell>
          <cell r="D176" t="str">
            <v>ANALISIS Y DESARROLLO DE SOFTWARE.</v>
          </cell>
          <cell r="E176" t="str">
            <v>14/05/2024</v>
          </cell>
          <cell r="F176">
            <v>46066</v>
          </cell>
          <cell r="G176" t="str">
            <v>13/08/2026</v>
          </cell>
        </row>
        <row r="177">
          <cell r="A177">
            <v>3070358</v>
          </cell>
          <cell r="B177" t="str">
            <v>TECNÓLOGO</v>
          </cell>
          <cell r="C177">
            <v>33</v>
          </cell>
          <cell r="D177" t="str">
            <v>DESARROLLO PUBLICITARIO</v>
          </cell>
          <cell r="E177" t="str">
            <v>16/09/2024</v>
          </cell>
          <cell r="F177">
            <v>46188</v>
          </cell>
          <cell r="G177" t="str">
            <v>15/12/2026</v>
          </cell>
        </row>
        <row r="178">
          <cell r="A178">
            <v>2977751</v>
          </cell>
          <cell r="B178" t="str">
            <v>TECNÓLOGO</v>
          </cell>
          <cell r="C178">
            <v>41</v>
          </cell>
          <cell r="D178" t="str">
            <v>COORDINACION DE PROCESOS LOGISTICOS</v>
          </cell>
          <cell r="E178" t="str">
            <v>14/05/2024</v>
          </cell>
          <cell r="F178">
            <v>46066</v>
          </cell>
          <cell r="G178" t="str">
            <v>13/08/2026</v>
          </cell>
        </row>
        <row r="179">
          <cell r="A179">
            <v>2977746</v>
          </cell>
          <cell r="B179" t="str">
            <v>TECNÓLOGO</v>
          </cell>
          <cell r="C179">
            <v>43</v>
          </cell>
          <cell r="D179" t="str">
            <v>COORDINACION DE PROCESOS LOGISTICOS</v>
          </cell>
          <cell r="E179" t="str">
            <v>14/05/2024</v>
          </cell>
          <cell r="F179">
            <v>46066</v>
          </cell>
          <cell r="G179" t="str">
            <v>13/08/2026</v>
          </cell>
        </row>
        <row r="180">
          <cell r="A180">
            <v>2675819</v>
          </cell>
          <cell r="B180" t="str">
            <v>TECNÓLOGO</v>
          </cell>
          <cell r="C180">
            <v>19</v>
          </cell>
          <cell r="D180" t="str">
            <v>ANALISIS Y DESARROLLO DE SOFTWARE.</v>
          </cell>
          <cell r="E180" t="str">
            <v>21/11/2022</v>
          </cell>
          <cell r="F180">
            <v>45524</v>
          </cell>
          <cell r="G180" t="str">
            <v>20/02/2025</v>
          </cell>
        </row>
        <row r="181">
          <cell r="A181">
            <v>2675826</v>
          </cell>
          <cell r="B181" t="str">
            <v>TECNÓLOGO</v>
          </cell>
          <cell r="C181">
            <v>39</v>
          </cell>
          <cell r="D181" t="str">
            <v>ANALISIS Y DESARROLLO DE SOFTWARE.</v>
          </cell>
          <cell r="E181" t="str">
            <v>21/11/2022</v>
          </cell>
          <cell r="F181">
            <v>45524</v>
          </cell>
          <cell r="G181" t="str">
            <v>20/02/2025</v>
          </cell>
        </row>
        <row r="182">
          <cell r="A182">
            <v>2879695</v>
          </cell>
          <cell r="B182" t="str">
            <v>TECNÓLOGO</v>
          </cell>
          <cell r="C182">
            <v>37</v>
          </cell>
          <cell r="D182" t="str">
            <v>ANALISIS Y DESARROLLO DE SOFTWARE.</v>
          </cell>
          <cell r="E182" t="str">
            <v>20/11/2023</v>
          </cell>
          <cell r="F182">
            <v>45888</v>
          </cell>
          <cell r="G182" t="str">
            <v>19/02/2026</v>
          </cell>
        </row>
        <row r="183">
          <cell r="A183">
            <v>3335836</v>
          </cell>
          <cell r="B183" t="str">
            <v>TECNÓLOGO</v>
          </cell>
          <cell r="C183">
            <v>51</v>
          </cell>
          <cell r="D183" t="str">
            <v>GESTION CONTABLE Y DE INFORMACION FINANCIERA</v>
          </cell>
          <cell r="E183" t="str">
            <v>29/09/2025</v>
          </cell>
          <cell r="F183">
            <v>46566</v>
          </cell>
          <cell r="G183" t="str">
            <v>28/12/2027</v>
          </cell>
        </row>
        <row r="184">
          <cell r="A184">
            <v>2879697</v>
          </cell>
          <cell r="B184" t="str">
            <v>TECNÓLOGO</v>
          </cell>
          <cell r="C184">
            <v>42</v>
          </cell>
          <cell r="D184" t="str">
            <v>ANALISIS Y DESARROLLO DE SOFTWARE.</v>
          </cell>
          <cell r="E184" t="str">
            <v>20/11/2023</v>
          </cell>
          <cell r="F184">
            <v>45888</v>
          </cell>
          <cell r="G184" t="str">
            <v>19/02/2026</v>
          </cell>
        </row>
        <row r="185">
          <cell r="A185">
            <v>3335844</v>
          </cell>
          <cell r="B185" t="str">
            <v>TECNÓLOGO</v>
          </cell>
          <cell r="C185">
            <v>46</v>
          </cell>
          <cell r="D185" t="str">
            <v>GESTION CONTABLE Y DE INFORMACION FINANCIERA</v>
          </cell>
          <cell r="E185" t="str">
            <v>29/09/2025</v>
          </cell>
          <cell r="F185">
            <v>46566</v>
          </cell>
          <cell r="G185" t="str">
            <v>28/12/2027</v>
          </cell>
        </row>
        <row r="186">
          <cell r="A186">
            <v>3186630</v>
          </cell>
          <cell r="B186" t="str">
            <v>TECNÓLOGO</v>
          </cell>
          <cell r="C186">
            <v>59</v>
          </cell>
          <cell r="D186" t="str">
            <v>ANALISIS Y DESARROLLO DE SOFTWARE.</v>
          </cell>
          <cell r="E186" t="str">
            <v>31/03/2025</v>
          </cell>
          <cell r="F186">
            <v>46386</v>
          </cell>
          <cell r="G186" t="str">
            <v>30/06/2027</v>
          </cell>
        </row>
        <row r="187">
          <cell r="A187">
            <v>2977230</v>
          </cell>
          <cell r="B187" t="str">
            <v>TECNÓLOGO</v>
          </cell>
          <cell r="C187">
            <v>44</v>
          </cell>
          <cell r="D187" t="str">
            <v>DESARROLLO DE MEDIOS GRAFICOS VISUALES</v>
          </cell>
          <cell r="E187" t="str">
            <v>14/05/2024</v>
          </cell>
          <cell r="F187">
            <v>46066</v>
          </cell>
          <cell r="G187" t="str">
            <v>13/08/2026</v>
          </cell>
        </row>
        <row r="188">
          <cell r="A188">
            <v>2675747</v>
          </cell>
          <cell r="B188" t="str">
            <v>TECNÓLOGO</v>
          </cell>
          <cell r="C188">
            <v>30</v>
          </cell>
          <cell r="D188" t="str">
            <v>DESARROLLO DE MEDIOS GRAFICOS VISUALES</v>
          </cell>
          <cell r="E188" t="str">
            <v>21/11/2022</v>
          </cell>
          <cell r="F188">
            <v>45524</v>
          </cell>
          <cell r="G188" t="str">
            <v>20/02/2025</v>
          </cell>
        </row>
        <row r="189">
          <cell r="A189">
            <v>2675820</v>
          </cell>
          <cell r="B189" t="str">
            <v>TECNÓLOGO</v>
          </cell>
          <cell r="C189">
            <v>12</v>
          </cell>
          <cell r="D189" t="str">
            <v>ANALISIS Y DESARROLLO DE SOFTWARE.</v>
          </cell>
          <cell r="E189" t="str">
            <v>21/11/2022</v>
          </cell>
          <cell r="F189">
            <v>45524</v>
          </cell>
          <cell r="G189" t="str">
            <v>20/02/2025</v>
          </cell>
        </row>
        <row r="190">
          <cell r="A190">
            <v>2879694</v>
          </cell>
          <cell r="B190" t="str">
            <v>TECNÓLOGO</v>
          </cell>
          <cell r="C190">
            <v>24</v>
          </cell>
          <cell r="D190" t="str">
            <v>ANALISIS Y DESARROLLO DE SOFTWARE.</v>
          </cell>
          <cell r="E190" t="str">
            <v>20/11/2023</v>
          </cell>
          <cell r="F190">
            <v>45888</v>
          </cell>
          <cell r="G190" t="str">
            <v>19/02/2026</v>
          </cell>
        </row>
        <row r="191">
          <cell r="A191">
            <v>2675744</v>
          </cell>
          <cell r="B191" t="str">
            <v>TECNÓLOGO</v>
          </cell>
          <cell r="C191">
            <v>11</v>
          </cell>
          <cell r="D191" t="str">
            <v>DESARROLLO DE MEDIOS GRAFICOS VISUALES</v>
          </cell>
          <cell r="E191" t="str">
            <v>21/11/2022</v>
          </cell>
          <cell r="F191">
            <v>45524</v>
          </cell>
          <cell r="G191" t="str">
            <v>20/02/2025</v>
          </cell>
        </row>
        <row r="192">
          <cell r="A192">
            <v>2675791</v>
          </cell>
          <cell r="B192" t="str">
            <v>TECNÓLOGO</v>
          </cell>
          <cell r="C192">
            <v>29</v>
          </cell>
          <cell r="D192" t="str">
            <v>ANALISIS Y DESARROLLO DE SOFTWARE.</v>
          </cell>
          <cell r="E192" t="str">
            <v>21/11/2022</v>
          </cell>
          <cell r="F192">
            <v>45524</v>
          </cell>
          <cell r="G192" t="str">
            <v>20/02/2025</v>
          </cell>
        </row>
        <row r="193">
          <cell r="A193">
            <v>2977465</v>
          </cell>
          <cell r="B193" t="str">
            <v>TECNÓLOGO</v>
          </cell>
          <cell r="C193">
            <v>40</v>
          </cell>
          <cell r="D193" t="str">
            <v>ANALISIS Y DESARROLLO DE SOFTWARE.</v>
          </cell>
          <cell r="E193" t="str">
            <v>14/05/2024</v>
          </cell>
          <cell r="F193">
            <v>46066</v>
          </cell>
          <cell r="G193" t="str">
            <v>13/08/2026</v>
          </cell>
        </row>
        <row r="194">
          <cell r="A194">
            <v>2675818</v>
          </cell>
          <cell r="B194" t="str">
            <v>TECNÓLOGO</v>
          </cell>
          <cell r="C194">
            <v>13</v>
          </cell>
          <cell r="D194" t="str">
            <v>ANALISIS Y DESARROLLO DE SOFTWARE.</v>
          </cell>
          <cell r="E194" t="str">
            <v>21/11/2022</v>
          </cell>
          <cell r="F194">
            <v>45524</v>
          </cell>
          <cell r="G194" t="str">
            <v>20/02/2025</v>
          </cell>
        </row>
        <row r="195">
          <cell r="A195">
            <v>2977753</v>
          </cell>
          <cell r="B195" t="str">
            <v>TECNÓLOGO</v>
          </cell>
          <cell r="C195">
            <v>38</v>
          </cell>
          <cell r="D195" t="str">
            <v>COORDINACION DE PROCESOS LOGISTICOS</v>
          </cell>
          <cell r="E195" t="str">
            <v>14/05/2024</v>
          </cell>
          <cell r="F195">
            <v>46066</v>
          </cell>
          <cell r="G195" t="str">
            <v>13/08/2026</v>
          </cell>
        </row>
        <row r="196">
          <cell r="A196">
            <v>2675824</v>
          </cell>
          <cell r="B196" t="str">
            <v>TECNÓLOGO</v>
          </cell>
          <cell r="C196">
            <v>31</v>
          </cell>
          <cell r="D196" t="str">
            <v>ANALISIS Y DESARROLLO DE SOFTWARE.</v>
          </cell>
          <cell r="E196" t="str">
            <v>21/11/2022</v>
          </cell>
          <cell r="F196">
            <v>45524</v>
          </cell>
          <cell r="G196" t="str">
            <v>20/02/2025</v>
          </cell>
        </row>
        <row r="197">
          <cell r="A197">
            <v>2879845</v>
          </cell>
          <cell r="B197" t="str">
            <v>TECNÓLOGO</v>
          </cell>
          <cell r="C197">
            <v>37</v>
          </cell>
          <cell r="D197" t="str">
            <v>COORDINACION DE PROCESOS LOGISTICOS</v>
          </cell>
          <cell r="E197" t="str">
            <v>20/11/2023</v>
          </cell>
          <cell r="F197">
            <v>45888</v>
          </cell>
          <cell r="G197" t="str">
            <v>19/02/2026</v>
          </cell>
        </row>
        <row r="198">
          <cell r="A198">
            <v>3336179</v>
          </cell>
          <cell r="B198" t="str">
            <v>TECNÓLOGO</v>
          </cell>
          <cell r="C198">
            <v>52</v>
          </cell>
          <cell r="D198" t="str">
            <v>ANALISIS Y DESARROLLO DE SOFTWARE.</v>
          </cell>
          <cell r="E198" t="str">
            <v>29/09/2025</v>
          </cell>
          <cell r="F198">
            <v>46566</v>
          </cell>
          <cell r="G198" t="str">
            <v>28/12/2027</v>
          </cell>
        </row>
        <row r="199">
          <cell r="A199">
            <v>3336173</v>
          </cell>
          <cell r="B199" t="str">
            <v>TECNÓLOGO</v>
          </cell>
          <cell r="C199">
            <v>50</v>
          </cell>
          <cell r="D199" t="str">
            <v>ANALISIS Y DESARROLLO DE SOFTWARE.</v>
          </cell>
          <cell r="E199" t="str">
            <v>29/09/2025</v>
          </cell>
          <cell r="F199">
            <v>46566</v>
          </cell>
          <cell r="G199" t="str">
            <v>28/12/2027</v>
          </cell>
        </row>
        <row r="200">
          <cell r="A200">
            <v>3336461</v>
          </cell>
          <cell r="B200" t="str">
            <v>TECNÓLOGO</v>
          </cell>
          <cell r="C200">
            <v>50</v>
          </cell>
          <cell r="D200" t="str">
            <v>COORDINACION DE PROCESOS LOGISTICOS</v>
          </cell>
          <cell r="E200" t="str">
            <v>29/09/2025</v>
          </cell>
          <cell r="F200">
            <v>46566</v>
          </cell>
          <cell r="G200" t="str">
            <v>28/12/2027</v>
          </cell>
        </row>
        <row r="201">
          <cell r="A201">
            <v>3118514</v>
          </cell>
          <cell r="B201" t="str">
            <v>TECNÓLOGO</v>
          </cell>
          <cell r="C201">
            <v>43</v>
          </cell>
          <cell r="D201" t="str">
            <v>DESARROLLO DE MEDIOS GRAFICOS VISUALES</v>
          </cell>
          <cell r="E201" t="str">
            <v>18/11/2024</v>
          </cell>
          <cell r="F201">
            <v>46251</v>
          </cell>
          <cell r="G201" t="str">
            <v>17/02/2027</v>
          </cell>
        </row>
        <row r="202">
          <cell r="A202">
            <v>3336171</v>
          </cell>
          <cell r="B202" t="str">
            <v>TECNÓLOGO</v>
          </cell>
          <cell r="C202">
            <v>60</v>
          </cell>
          <cell r="D202" t="str">
            <v>ANALISIS Y DESARROLLO DE SOFTWARE.</v>
          </cell>
          <cell r="E202" t="str">
            <v>29/09/2025</v>
          </cell>
          <cell r="F202">
            <v>46566</v>
          </cell>
          <cell r="G202" t="str">
            <v>28/12/2027</v>
          </cell>
        </row>
        <row r="203">
          <cell r="A203">
            <v>3336177</v>
          </cell>
          <cell r="B203" t="str">
            <v>TECNÓLOGO</v>
          </cell>
          <cell r="C203">
            <v>44</v>
          </cell>
          <cell r="D203" t="str">
            <v>ANALISIS Y DESARROLLO DE SOFTWARE.</v>
          </cell>
          <cell r="E203" t="str">
            <v>29/09/2025</v>
          </cell>
          <cell r="F203">
            <v>46566</v>
          </cell>
          <cell r="G203" t="str">
            <v>28/12/2027</v>
          </cell>
        </row>
        <row r="204">
          <cell r="A204">
            <v>3336184</v>
          </cell>
          <cell r="B204" t="str">
            <v>TECNÓLOGO</v>
          </cell>
          <cell r="C204">
            <v>52</v>
          </cell>
          <cell r="D204" t="str">
            <v>ANALISIS Y DESARROLLO DE SOFTWARE.</v>
          </cell>
          <cell r="E204" t="str">
            <v>29/09/2025</v>
          </cell>
          <cell r="F204">
            <v>46566</v>
          </cell>
          <cell r="G204" t="str">
            <v>28/12/2027</v>
          </cell>
        </row>
        <row r="205">
          <cell r="A205">
            <v>3118510</v>
          </cell>
          <cell r="B205" t="str">
            <v>TECNÓLOGO</v>
          </cell>
          <cell r="C205">
            <v>44</v>
          </cell>
          <cell r="D205" t="str">
            <v>DESARROLLO DE MEDIOS GRAFICOS VISUALES</v>
          </cell>
          <cell r="E205" t="str">
            <v>18/11/2024</v>
          </cell>
          <cell r="F205">
            <v>46251</v>
          </cell>
          <cell r="G205" t="str">
            <v>17/02/2027</v>
          </cell>
        </row>
        <row r="206">
          <cell r="A206">
            <v>3118495</v>
          </cell>
          <cell r="B206" t="str">
            <v>TECNÓLOGO</v>
          </cell>
          <cell r="C206">
            <v>39</v>
          </cell>
          <cell r="D206" t="str">
            <v>ANALISIS Y DESARROLLO DE SOFTWARE.</v>
          </cell>
          <cell r="E206" t="str">
            <v>18/11/2024</v>
          </cell>
          <cell r="F206">
            <v>46251</v>
          </cell>
          <cell r="G206" t="str">
            <v>17/02/2027</v>
          </cell>
        </row>
        <row r="207">
          <cell r="A207">
            <v>3336467</v>
          </cell>
          <cell r="B207" t="str">
            <v>TECNÓLOGO</v>
          </cell>
          <cell r="C207">
            <v>47</v>
          </cell>
          <cell r="D207" t="str">
            <v>COORDINACION DE PROCESOS LOGISTICOS</v>
          </cell>
          <cell r="E207" t="str">
            <v>29/09/2025</v>
          </cell>
          <cell r="F207">
            <v>46566</v>
          </cell>
          <cell r="G207" t="str">
            <v>28/12/2027</v>
          </cell>
        </row>
        <row r="208">
          <cell r="A208">
            <v>3070348</v>
          </cell>
          <cell r="B208" t="str">
            <v>TECNÓLOGO</v>
          </cell>
          <cell r="C208">
            <v>39</v>
          </cell>
          <cell r="D208" t="str">
            <v>DESARROLLO DE MEDIOS GRAFICOS VISUALES</v>
          </cell>
          <cell r="E208" t="str">
            <v>16/09/2024</v>
          </cell>
          <cell r="F208">
            <v>46188</v>
          </cell>
          <cell r="G208" t="str">
            <v>15/12/2026</v>
          </cell>
        </row>
        <row r="209">
          <cell r="A209">
            <v>3118506</v>
          </cell>
          <cell r="B209" t="str">
            <v>TECNÓLOGO</v>
          </cell>
          <cell r="C209">
            <v>45</v>
          </cell>
          <cell r="D209" t="str">
            <v>COORDINACION DE PROCESOS LOGISTICOS</v>
          </cell>
          <cell r="E209" t="str">
            <v>18/11/2024</v>
          </cell>
          <cell r="F209">
            <v>46251</v>
          </cell>
          <cell r="G209" t="str">
            <v>17/02/2027</v>
          </cell>
        </row>
        <row r="210">
          <cell r="A210">
            <v>3335840</v>
          </cell>
          <cell r="B210" t="str">
            <v>TECNÓLOGO</v>
          </cell>
          <cell r="C210">
            <v>53</v>
          </cell>
          <cell r="D210" t="str">
            <v>GESTION CONTABLE Y DE INFORMACION FINANCIERA</v>
          </cell>
          <cell r="E210" t="str">
            <v>29/09/2025</v>
          </cell>
          <cell r="F210">
            <v>46566</v>
          </cell>
          <cell r="G210" t="str">
            <v>28/12/2027</v>
          </cell>
        </row>
        <row r="211">
          <cell r="A211">
            <v>3335842</v>
          </cell>
          <cell r="B211" t="str">
            <v>TECNÓLOGO</v>
          </cell>
          <cell r="C211">
            <v>53</v>
          </cell>
          <cell r="D211" t="str">
            <v>GESTION CONTABLE Y DE INFORMACION FINANCIERA</v>
          </cell>
          <cell r="E211" t="str">
            <v>29/09/2025</v>
          </cell>
          <cell r="F211">
            <v>46566</v>
          </cell>
          <cell r="G211" t="str">
            <v>28/12/2027</v>
          </cell>
        </row>
        <row r="212">
          <cell r="A212">
            <v>3336468</v>
          </cell>
          <cell r="B212" t="str">
            <v>TECNÓLOGO</v>
          </cell>
          <cell r="C212">
            <v>55</v>
          </cell>
          <cell r="D212" t="str">
            <v>COORDINACION DE PROCESOS LOGISTICOS</v>
          </cell>
          <cell r="E212" t="str">
            <v>29/09/2025</v>
          </cell>
          <cell r="F212">
            <v>46566</v>
          </cell>
          <cell r="G212" t="str">
            <v>28/12/2027</v>
          </cell>
        </row>
        <row r="213">
          <cell r="A213">
            <v>3336458</v>
          </cell>
          <cell r="B213" t="str">
            <v>TECNÓLOGO</v>
          </cell>
          <cell r="C213">
            <v>44</v>
          </cell>
          <cell r="D213" t="str">
            <v>COORDINACION DE PROCESOS LOGISTICOS</v>
          </cell>
          <cell r="E213" t="str">
            <v>29/09/2025</v>
          </cell>
          <cell r="F213">
            <v>46566</v>
          </cell>
          <cell r="G213" t="str">
            <v>28/12/2027</v>
          </cell>
        </row>
        <row r="214">
          <cell r="A214">
            <v>3118311</v>
          </cell>
          <cell r="B214" t="str">
            <v>TECNÓLOGO</v>
          </cell>
          <cell r="C214">
            <v>39</v>
          </cell>
          <cell r="D214" t="str">
            <v>ANALISIS Y DESARROLLO DE SOFTWARE.</v>
          </cell>
          <cell r="E214" t="str">
            <v>18/11/2024</v>
          </cell>
          <cell r="F214">
            <v>46251</v>
          </cell>
          <cell r="G214" t="str">
            <v>17/02/2027</v>
          </cell>
        </row>
        <row r="215">
          <cell r="A215">
            <v>2675830</v>
          </cell>
          <cell r="B215" t="str">
            <v>TECNÓLOGO</v>
          </cell>
          <cell r="C215">
            <v>10</v>
          </cell>
          <cell r="D215" t="str">
            <v>ANALISIS Y DESARROLLO DE SOFTWARE.</v>
          </cell>
          <cell r="E215" t="str">
            <v>21/11/2022</v>
          </cell>
          <cell r="F215">
            <v>45524</v>
          </cell>
          <cell r="G215" t="str">
            <v>20/02/2025</v>
          </cell>
        </row>
        <row r="216">
          <cell r="A216">
            <v>3335843</v>
          </cell>
          <cell r="B216" t="str">
            <v>TECNÓLOGO</v>
          </cell>
          <cell r="C216">
            <v>55</v>
          </cell>
          <cell r="D216" t="str">
            <v>GESTION CONTABLE Y DE INFORMACION FINANCIERA</v>
          </cell>
          <cell r="E216" t="str">
            <v>29/09/2025</v>
          </cell>
          <cell r="F216">
            <v>46566</v>
          </cell>
          <cell r="G216" t="str">
            <v>28/12/2027</v>
          </cell>
        </row>
        <row r="217">
          <cell r="A217">
            <v>3118511</v>
          </cell>
          <cell r="B217" t="str">
            <v>TECNÓLOGO</v>
          </cell>
          <cell r="C217">
            <v>43</v>
          </cell>
          <cell r="D217" t="str">
            <v>DESARROLLO DE MEDIOS GRAFICOS VISUALES</v>
          </cell>
          <cell r="E217" t="str">
            <v>18/11/2024</v>
          </cell>
          <cell r="F217">
            <v>46251</v>
          </cell>
          <cell r="G217" t="str">
            <v>17/02/2027</v>
          </cell>
        </row>
        <row r="218">
          <cell r="A218">
            <v>3335835</v>
          </cell>
          <cell r="B218" t="str">
            <v>TECNÓLOGO</v>
          </cell>
          <cell r="C218">
            <v>50</v>
          </cell>
          <cell r="D218" t="str">
            <v>GESTION CONTABLE Y DE INFORMACION FINANCIERA</v>
          </cell>
          <cell r="E218" t="str">
            <v>29/09/2025</v>
          </cell>
          <cell r="F218">
            <v>46566</v>
          </cell>
          <cell r="G218" t="str">
            <v>28/12/2027</v>
          </cell>
        </row>
        <row r="219">
          <cell r="A219">
            <v>3335849</v>
          </cell>
          <cell r="B219" t="str">
            <v>TECNÓLOGO</v>
          </cell>
          <cell r="C219">
            <v>52</v>
          </cell>
          <cell r="D219" t="str">
            <v>GESTION CONTABLE Y DE INFORMACION FINANCIERA</v>
          </cell>
          <cell r="E219" t="str">
            <v>29/09/2025</v>
          </cell>
          <cell r="F219">
            <v>46566</v>
          </cell>
          <cell r="G219" t="str">
            <v>28/12/2027</v>
          </cell>
        </row>
        <row r="220">
          <cell r="A220">
            <v>2675821</v>
          </cell>
          <cell r="B220" t="str">
            <v>TECNÓLOGO</v>
          </cell>
          <cell r="C220">
            <v>15</v>
          </cell>
          <cell r="D220" t="str">
            <v>ANALISIS Y DESARROLLO DE SOFTWARE.</v>
          </cell>
          <cell r="E220" t="str">
            <v>21/11/2022</v>
          </cell>
          <cell r="F220">
            <v>45524</v>
          </cell>
          <cell r="G220" t="str">
            <v>20/02/2025</v>
          </cell>
        </row>
        <row r="221">
          <cell r="A221">
            <v>3336286</v>
          </cell>
          <cell r="B221" t="str">
            <v>TÉCNICO</v>
          </cell>
          <cell r="C221">
            <v>44</v>
          </cell>
          <cell r="D221" t="str">
            <v>ASESORIA COMERCIAL</v>
          </cell>
          <cell r="E221" t="str">
            <v>29/09/2025</v>
          </cell>
          <cell r="F221">
            <v>46201</v>
          </cell>
          <cell r="G221" t="str">
            <v>28/12/2026</v>
          </cell>
        </row>
        <row r="222">
          <cell r="A222">
            <v>2675825</v>
          </cell>
          <cell r="B222" t="str">
            <v>TECNÓLOGO</v>
          </cell>
          <cell r="C222">
            <v>38</v>
          </cell>
          <cell r="D222" t="str">
            <v>ANALISIS Y DESARROLLO DE SOFTWARE.</v>
          </cell>
          <cell r="E222" t="str">
            <v>21/11/2022</v>
          </cell>
          <cell r="F222">
            <v>45524</v>
          </cell>
          <cell r="G222" t="str">
            <v>20/02/2025</v>
          </cell>
        </row>
        <row r="223">
          <cell r="A223">
            <v>2675815</v>
          </cell>
          <cell r="B223" t="str">
            <v>TECNÓLOGO</v>
          </cell>
          <cell r="C223">
            <v>22</v>
          </cell>
          <cell r="D223" t="str">
            <v>ANALISIS Y DESARROLLO DE SOFTWARE.</v>
          </cell>
          <cell r="E223" t="str">
            <v>21/11/2022</v>
          </cell>
          <cell r="F223">
            <v>45524</v>
          </cell>
          <cell r="G223" t="str">
            <v>20/02/2025</v>
          </cell>
        </row>
        <row r="224">
          <cell r="A224">
            <v>3185929</v>
          </cell>
          <cell r="B224" t="str">
            <v>TECNÓLOGO</v>
          </cell>
          <cell r="C224">
            <v>53</v>
          </cell>
          <cell r="D224" t="str">
            <v>COORDINACION DE PROCESOS LOGISTICOS</v>
          </cell>
          <cell r="E224" t="str">
            <v>31/03/2025</v>
          </cell>
          <cell r="F224">
            <v>46386</v>
          </cell>
          <cell r="G224" t="str">
            <v>30/06/2027</v>
          </cell>
        </row>
        <row r="225">
          <cell r="A225">
            <v>3185931</v>
          </cell>
          <cell r="B225" t="str">
            <v>TECNÓLOGO</v>
          </cell>
          <cell r="C225">
            <v>60</v>
          </cell>
          <cell r="D225" t="str">
            <v>COORDINACION DE PROCESOS LOGISTICOS</v>
          </cell>
          <cell r="E225" t="str">
            <v>31/03/2025</v>
          </cell>
          <cell r="F225">
            <v>46386</v>
          </cell>
          <cell r="G225" t="str">
            <v>30/06/2027</v>
          </cell>
        </row>
        <row r="226">
          <cell r="A226">
            <v>3336287</v>
          </cell>
          <cell r="B226" t="str">
            <v>TÉCNICO</v>
          </cell>
          <cell r="C226">
            <v>40</v>
          </cell>
          <cell r="D226" t="str">
            <v>ASESORIA COMERCIAL</v>
          </cell>
          <cell r="E226" t="str">
            <v>29/09/2025</v>
          </cell>
          <cell r="F226">
            <v>46201</v>
          </cell>
          <cell r="G226" t="str">
            <v>28/12/2026</v>
          </cell>
        </row>
        <row r="227">
          <cell r="A227">
            <v>3118406</v>
          </cell>
          <cell r="B227" t="str">
            <v>TECNÓLOGO</v>
          </cell>
          <cell r="C227">
            <v>45</v>
          </cell>
          <cell r="D227" t="str">
            <v>DESARROLLO DE MEDIOS GRAFICOS VISUALES</v>
          </cell>
          <cell r="E227" t="str">
            <v>18/11/2024</v>
          </cell>
          <cell r="F227">
            <v>46251</v>
          </cell>
          <cell r="G227" t="str">
            <v>17/02/2027</v>
          </cell>
        </row>
        <row r="228">
          <cell r="A228">
            <v>3070340</v>
          </cell>
          <cell r="B228" t="str">
            <v>TECNÓLOGO</v>
          </cell>
          <cell r="C228">
            <v>33</v>
          </cell>
          <cell r="D228" t="str">
            <v>COORDINACION DE PROCESOS LOGISTICOS</v>
          </cell>
          <cell r="E228" t="str">
            <v>16/09/2024</v>
          </cell>
          <cell r="F228">
            <v>46188</v>
          </cell>
          <cell r="G228" t="str">
            <v>15/12/2026</v>
          </cell>
        </row>
        <row r="229">
          <cell r="A229">
            <v>3070320</v>
          </cell>
          <cell r="B229" t="str">
            <v>TECNÓLOGO</v>
          </cell>
          <cell r="C229">
            <v>36</v>
          </cell>
          <cell r="D229" t="str">
            <v>ANALISIS Y DESARROLLO DE SOFTWARE.</v>
          </cell>
          <cell r="E229" t="str">
            <v>16/09/2024</v>
          </cell>
          <cell r="F229">
            <v>46188</v>
          </cell>
          <cell r="G229" t="str">
            <v>15/12/2026</v>
          </cell>
        </row>
        <row r="230">
          <cell r="A230">
            <v>3070341</v>
          </cell>
          <cell r="B230" t="str">
            <v>TECNÓLOGO</v>
          </cell>
          <cell r="C230">
            <v>38</v>
          </cell>
          <cell r="D230" t="str">
            <v>COORDINACION DE PROCESOS LOGISTICOS</v>
          </cell>
          <cell r="E230" t="str">
            <v>16/09/2024</v>
          </cell>
          <cell r="F230">
            <v>46188</v>
          </cell>
          <cell r="G230" t="str">
            <v>15/12/2026</v>
          </cell>
        </row>
        <row r="231">
          <cell r="A231">
            <v>3070360</v>
          </cell>
          <cell r="B231" t="str">
            <v>TECNÓLOGO</v>
          </cell>
          <cell r="C231">
            <v>37</v>
          </cell>
          <cell r="D231" t="str">
            <v>DESARROLLO PUBLICITARIO</v>
          </cell>
          <cell r="E231" t="str">
            <v>16/09/2024</v>
          </cell>
          <cell r="F231">
            <v>46188</v>
          </cell>
          <cell r="G231" t="str">
            <v>15/12/2026</v>
          </cell>
        </row>
        <row r="232">
          <cell r="A232">
            <v>3235914</v>
          </cell>
          <cell r="B232" t="str">
            <v>TECNÓLOGO</v>
          </cell>
          <cell r="C232">
            <v>60</v>
          </cell>
          <cell r="D232" t="str">
            <v>ANIMACION 3D.</v>
          </cell>
          <cell r="E232" t="str">
            <v>03/06/2025</v>
          </cell>
          <cell r="F232">
            <v>46448</v>
          </cell>
          <cell r="G232" t="str">
            <v>02/09/2027</v>
          </cell>
        </row>
        <row r="233">
          <cell r="A233">
            <v>3235912</v>
          </cell>
          <cell r="B233" t="str">
            <v>TECNÓLOGO</v>
          </cell>
          <cell r="C233">
            <v>61</v>
          </cell>
          <cell r="D233" t="str">
            <v>ANIMACION 3D.</v>
          </cell>
          <cell r="E233" t="str">
            <v>03/06/2025</v>
          </cell>
          <cell r="F233">
            <v>46448</v>
          </cell>
          <cell r="G233" t="str">
            <v>02/09/2027</v>
          </cell>
        </row>
        <row r="234">
          <cell r="A234">
            <v>3118503</v>
          </cell>
          <cell r="B234" t="str">
            <v>TECNÓLOGO</v>
          </cell>
          <cell r="C234">
            <v>45</v>
          </cell>
          <cell r="D234" t="str">
            <v>COORDINACION DE PROCESOS LOGISTICOS</v>
          </cell>
          <cell r="E234" t="str">
            <v>18/11/2024</v>
          </cell>
          <cell r="F234">
            <v>46251</v>
          </cell>
          <cell r="G234" t="str">
            <v>17/02/2027</v>
          </cell>
        </row>
        <row r="235">
          <cell r="A235">
            <v>3118492</v>
          </cell>
          <cell r="B235" t="str">
            <v>TECNÓLOGO</v>
          </cell>
          <cell r="C235">
            <v>43</v>
          </cell>
          <cell r="D235" t="str">
            <v>ANALISIS Y DESARROLLO DE SOFTWARE.</v>
          </cell>
          <cell r="E235" t="str">
            <v>18/11/2024</v>
          </cell>
          <cell r="F235">
            <v>46251</v>
          </cell>
          <cell r="G235" t="str">
            <v>17/02/2027</v>
          </cell>
        </row>
        <row r="236">
          <cell r="A236">
            <v>3118497</v>
          </cell>
          <cell r="B236" t="str">
            <v>TECNÓLOGO</v>
          </cell>
          <cell r="C236">
            <v>43</v>
          </cell>
          <cell r="D236" t="str">
            <v>ANALISIS Y DESARROLLO DE SOFTWARE.</v>
          </cell>
          <cell r="E236" t="str">
            <v>18/11/2024</v>
          </cell>
          <cell r="F236">
            <v>46251</v>
          </cell>
          <cell r="G236" t="str">
            <v>17/02/2027</v>
          </cell>
        </row>
        <row r="237">
          <cell r="A237">
            <v>3335845</v>
          </cell>
          <cell r="B237" t="str">
            <v>TECNÓLOGO</v>
          </cell>
          <cell r="C237">
            <v>50</v>
          </cell>
          <cell r="D237" t="str">
            <v>GESTION CONTABLE Y DE INFORMACION FINANCIERA</v>
          </cell>
          <cell r="E237" t="str">
            <v>29/09/2025</v>
          </cell>
          <cell r="F237">
            <v>46566</v>
          </cell>
          <cell r="G237" t="str">
            <v>28/12/2027</v>
          </cell>
        </row>
        <row r="238">
          <cell r="A238">
            <v>3070325</v>
          </cell>
          <cell r="B238" t="str">
            <v>TECNÓLOGO</v>
          </cell>
          <cell r="C238">
            <v>37</v>
          </cell>
          <cell r="D238" t="str">
            <v>ANALISIS Y DESARROLLO DE SOFTWARE.</v>
          </cell>
          <cell r="E238" t="str">
            <v>16/09/2024</v>
          </cell>
          <cell r="F238">
            <v>46188</v>
          </cell>
          <cell r="G238" t="str">
            <v>15/12/2026</v>
          </cell>
        </row>
        <row r="239">
          <cell r="A239">
            <v>3070336</v>
          </cell>
          <cell r="B239" t="str">
            <v>TECNÓLOGO</v>
          </cell>
          <cell r="C239">
            <v>34</v>
          </cell>
          <cell r="D239" t="str">
            <v>COORDINACION DE PROCESOS LOGISTICOS</v>
          </cell>
          <cell r="E239" t="str">
            <v>16/09/2024</v>
          </cell>
          <cell r="F239">
            <v>46188</v>
          </cell>
          <cell r="G239" t="str">
            <v>15/12/2026</v>
          </cell>
        </row>
        <row r="240">
          <cell r="A240">
            <v>3336288</v>
          </cell>
          <cell r="B240" t="str">
            <v>TÉCNICO</v>
          </cell>
          <cell r="C240">
            <v>46</v>
          </cell>
          <cell r="D240" t="str">
            <v>ASESORIA COMERCIAL</v>
          </cell>
          <cell r="E240" t="str">
            <v>29/09/2025</v>
          </cell>
          <cell r="F240">
            <v>46201</v>
          </cell>
          <cell r="G240" t="str">
            <v>28/12/2026</v>
          </cell>
        </row>
        <row r="241">
          <cell r="A241">
            <v>3070317</v>
          </cell>
          <cell r="B241" t="str">
            <v>TECNÓLOGO</v>
          </cell>
          <cell r="C241">
            <v>36</v>
          </cell>
          <cell r="D241" t="str">
            <v>ANALISIS Y DESARROLLO DE SOFTWARE.</v>
          </cell>
          <cell r="E241" t="str">
            <v>16/09/2024</v>
          </cell>
          <cell r="F241">
            <v>46188</v>
          </cell>
          <cell r="G241" t="str">
            <v>15/12/2026</v>
          </cell>
        </row>
        <row r="242">
          <cell r="A242">
            <v>3070334</v>
          </cell>
          <cell r="B242" t="str">
            <v>TECNÓLOGO</v>
          </cell>
          <cell r="C242">
            <v>34</v>
          </cell>
          <cell r="D242" t="str">
            <v>COORDINACION DE PROCESOS LOGISTICOS</v>
          </cell>
          <cell r="E242" t="str">
            <v>16/09/2024</v>
          </cell>
          <cell r="F242">
            <v>46188</v>
          </cell>
          <cell r="G242" t="str">
            <v>15/12/2026</v>
          </cell>
        </row>
        <row r="243">
          <cell r="A243">
            <v>2977635</v>
          </cell>
          <cell r="B243" t="str">
            <v>TECNÓLOGO</v>
          </cell>
          <cell r="C243">
            <v>38</v>
          </cell>
          <cell r="D243" t="str">
            <v>DESARROLLO PUBLICITARIO</v>
          </cell>
          <cell r="E243" t="str">
            <v>14/05/2024</v>
          </cell>
          <cell r="F243">
            <v>46066</v>
          </cell>
          <cell r="G243" t="str">
            <v>13/08/2026</v>
          </cell>
        </row>
        <row r="244">
          <cell r="A244">
            <v>2879836</v>
          </cell>
          <cell r="B244" t="str">
            <v>TECNÓLOGO</v>
          </cell>
          <cell r="C244">
            <v>41</v>
          </cell>
          <cell r="D244" t="str">
            <v>COORDINACION DE PROCESOS LOGISTICOS</v>
          </cell>
          <cell r="E244" t="str">
            <v>20/11/2023</v>
          </cell>
          <cell r="F244">
            <v>45888</v>
          </cell>
          <cell r="G244" t="str">
            <v>19/02/2026</v>
          </cell>
        </row>
        <row r="245">
          <cell r="A245">
            <v>3070319</v>
          </cell>
          <cell r="B245" t="str">
            <v>TECNÓLOGO</v>
          </cell>
          <cell r="C245">
            <v>36</v>
          </cell>
          <cell r="D245" t="str">
            <v>ANALISIS Y DESARROLLO DE SOFTWARE.</v>
          </cell>
          <cell r="E245" t="str">
            <v>16/09/2024</v>
          </cell>
          <cell r="F245">
            <v>46188</v>
          </cell>
          <cell r="G245" t="str">
            <v>15/12/2026</v>
          </cell>
        </row>
        <row r="246">
          <cell r="A246">
            <v>3070335</v>
          </cell>
          <cell r="B246" t="str">
            <v>TECNÓLOGO</v>
          </cell>
          <cell r="C246">
            <v>36</v>
          </cell>
          <cell r="D246" t="str">
            <v>COORDINACION DE PROCESOS LOGISTICOS</v>
          </cell>
          <cell r="E246" t="str">
            <v>16/09/2024</v>
          </cell>
          <cell r="F246">
            <v>46188</v>
          </cell>
          <cell r="G246" t="str">
            <v>15/12/2026</v>
          </cell>
        </row>
        <row r="247">
          <cell r="A247">
            <v>3235892</v>
          </cell>
          <cell r="B247" t="str">
            <v>TECNÓLOGO</v>
          </cell>
          <cell r="C247">
            <v>56</v>
          </cell>
          <cell r="D247" t="str">
            <v>ANALISIS Y DESARROLLO DE SOFTWARE.</v>
          </cell>
          <cell r="E247" t="str">
            <v>03/06/2025</v>
          </cell>
          <cell r="F247">
            <v>46448</v>
          </cell>
          <cell r="G247" t="str">
            <v>02/09/2027</v>
          </cell>
        </row>
        <row r="248">
          <cell r="A248">
            <v>2977752</v>
          </cell>
          <cell r="B248" t="str">
            <v>TECNÓLOGO</v>
          </cell>
          <cell r="C248">
            <v>39</v>
          </cell>
          <cell r="D248" t="str">
            <v>COORDINACION DE PROCESOS LOGISTICOS</v>
          </cell>
          <cell r="E248" t="str">
            <v>14/05/2024</v>
          </cell>
          <cell r="F248">
            <v>46066</v>
          </cell>
          <cell r="G248" t="str">
            <v>13/08/2026</v>
          </cell>
        </row>
        <row r="249">
          <cell r="A249">
            <v>3335833</v>
          </cell>
          <cell r="B249" t="str">
            <v>TECNÓLOGO</v>
          </cell>
          <cell r="C249">
            <v>53</v>
          </cell>
          <cell r="D249" t="str">
            <v>GESTION CONTABLE Y DE INFORMACION FINANCIERA</v>
          </cell>
          <cell r="E249" t="str">
            <v>29/09/2025</v>
          </cell>
          <cell r="F249">
            <v>46566</v>
          </cell>
          <cell r="G249" t="str">
            <v>28/12/2027</v>
          </cell>
        </row>
        <row r="250">
          <cell r="A250">
            <v>2977227</v>
          </cell>
          <cell r="B250" t="str">
            <v>TECNÓLOGO</v>
          </cell>
          <cell r="C250">
            <v>35</v>
          </cell>
          <cell r="D250" t="str">
            <v>DESARROLLO DE MEDIOS GRAFICOS VISUALES</v>
          </cell>
          <cell r="E250" t="str">
            <v>14/05/2024</v>
          </cell>
          <cell r="F250">
            <v>46066</v>
          </cell>
          <cell r="G250" t="str">
            <v>13/08/2026</v>
          </cell>
        </row>
        <row r="251">
          <cell r="A251">
            <v>2879838</v>
          </cell>
          <cell r="B251" t="str">
            <v>TECNÓLOGO</v>
          </cell>
          <cell r="C251">
            <v>36</v>
          </cell>
          <cell r="D251" t="str">
            <v>COORDINACION DE PROCESOS LOGISTICOS</v>
          </cell>
          <cell r="E251" t="str">
            <v>20/11/2023</v>
          </cell>
          <cell r="F251">
            <v>45888</v>
          </cell>
          <cell r="G251" t="str">
            <v>19/02/2026</v>
          </cell>
        </row>
        <row r="252">
          <cell r="A252">
            <v>3118496</v>
          </cell>
          <cell r="B252" t="str">
            <v>TECNÓLOGO</v>
          </cell>
          <cell r="C252">
            <v>43</v>
          </cell>
          <cell r="D252" t="str">
            <v>ANALISIS Y DESARROLLO DE SOFTWARE.</v>
          </cell>
          <cell r="E252" t="str">
            <v>18/11/2024</v>
          </cell>
          <cell r="F252">
            <v>46251</v>
          </cell>
          <cell r="G252" t="str">
            <v>17/02/2027</v>
          </cell>
        </row>
        <row r="253">
          <cell r="A253">
            <v>3118504</v>
          </cell>
          <cell r="B253" t="str">
            <v>TECNÓLOGO</v>
          </cell>
          <cell r="C253">
            <v>43</v>
          </cell>
          <cell r="D253" t="str">
            <v>COORDINACION DE PROCESOS LOGISTICOS</v>
          </cell>
          <cell r="E253" t="str">
            <v>18/11/2024</v>
          </cell>
          <cell r="F253">
            <v>46251</v>
          </cell>
          <cell r="G253" t="str">
            <v>17/02/2027</v>
          </cell>
        </row>
        <row r="254">
          <cell r="A254">
            <v>3336172</v>
          </cell>
          <cell r="B254" t="str">
            <v>TECNÓLOGO</v>
          </cell>
          <cell r="C254">
            <v>52</v>
          </cell>
          <cell r="D254" t="str">
            <v>ANALISIS Y DESARROLLO DE SOFTWARE.</v>
          </cell>
          <cell r="E254" t="str">
            <v>29/09/2025</v>
          </cell>
          <cell r="F254">
            <v>46566</v>
          </cell>
          <cell r="G254" t="str">
            <v>28/12/2027</v>
          </cell>
        </row>
        <row r="255">
          <cell r="A255">
            <v>3118499</v>
          </cell>
          <cell r="B255" t="str">
            <v>TECNÓLOGO</v>
          </cell>
          <cell r="C255">
            <v>40</v>
          </cell>
          <cell r="D255" t="str">
            <v>ANALISIS Y DESARROLLO DE SOFTWARE.</v>
          </cell>
          <cell r="E255" t="str">
            <v>18/11/2024</v>
          </cell>
          <cell r="F255">
            <v>46251</v>
          </cell>
          <cell r="G255" t="str">
            <v>17/02/2027</v>
          </cell>
        </row>
        <row r="256">
          <cell r="A256">
            <v>2879847</v>
          </cell>
          <cell r="B256" t="str">
            <v>TECNÓLOGO</v>
          </cell>
          <cell r="C256">
            <v>30</v>
          </cell>
          <cell r="D256" t="str">
            <v>COORDINACION DE PROCESOS LOGISTICOS</v>
          </cell>
          <cell r="E256" t="str">
            <v>20/11/2023</v>
          </cell>
          <cell r="F256">
            <v>45888</v>
          </cell>
          <cell r="G256" t="str">
            <v>19/02/2026</v>
          </cell>
        </row>
        <row r="257">
          <cell r="A257">
            <v>3336169</v>
          </cell>
          <cell r="B257" t="str">
            <v>TECNÓLOGO</v>
          </cell>
          <cell r="C257">
            <v>50</v>
          </cell>
          <cell r="D257" t="str">
            <v>ANALISIS Y DESARROLLO DE SOFTWARE.</v>
          </cell>
          <cell r="E257" t="str">
            <v>29/09/2025</v>
          </cell>
          <cell r="F257">
            <v>46566</v>
          </cell>
          <cell r="G257" t="str">
            <v>28/12/2027</v>
          </cell>
        </row>
        <row r="258">
          <cell r="A258">
            <v>3336180</v>
          </cell>
          <cell r="B258" t="str">
            <v>TECNÓLOGO</v>
          </cell>
          <cell r="C258">
            <v>53</v>
          </cell>
          <cell r="D258" t="str">
            <v>ANALISIS Y DESARROLLO DE SOFTWARE.</v>
          </cell>
          <cell r="E258" t="str">
            <v>29/09/2025</v>
          </cell>
          <cell r="F258">
            <v>46566</v>
          </cell>
          <cell r="G258" t="str">
            <v>28/12/2027</v>
          </cell>
        </row>
        <row r="259">
          <cell r="A259">
            <v>3235893</v>
          </cell>
          <cell r="B259" t="str">
            <v>TECNÓLOGO</v>
          </cell>
          <cell r="C259">
            <v>54</v>
          </cell>
          <cell r="D259" t="str">
            <v>ANALISIS Y DESARROLLO DE SOFTWARE.</v>
          </cell>
          <cell r="E259" t="str">
            <v>03/06/2025</v>
          </cell>
          <cell r="F259">
            <v>46448</v>
          </cell>
          <cell r="G259" t="str">
            <v>02/09/2027</v>
          </cell>
        </row>
        <row r="260">
          <cell r="A260">
            <v>3235974</v>
          </cell>
          <cell r="B260" t="str">
            <v>TECNÓLOGO</v>
          </cell>
          <cell r="C260">
            <v>73</v>
          </cell>
          <cell r="D260" t="str">
            <v>COORDINACION DE PROCESOS LOGISTICOS</v>
          </cell>
          <cell r="E260" t="str">
            <v>03/06/2025</v>
          </cell>
          <cell r="F260">
            <v>46448</v>
          </cell>
          <cell r="G260" t="str">
            <v>02/09/2027</v>
          </cell>
        </row>
        <row r="261">
          <cell r="A261">
            <v>2879848</v>
          </cell>
          <cell r="B261" t="str">
            <v>TECNÓLOGO</v>
          </cell>
          <cell r="C261">
            <v>43</v>
          </cell>
          <cell r="D261" t="str">
            <v>COORDINACION DE PROCESOS LOGISTICOS</v>
          </cell>
          <cell r="E261" t="str">
            <v>20/11/2023</v>
          </cell>
          <cell r="F261">
            <v>45888</v>
          </cell>
          <cell r="G261" t="str">
            <v>19/02/2026</v>
          </cell>
        </row>
        <row r="262">
          <cell r="A262">
            <v>3118502</v>
          </cell>
          <cell r="B262" t="str">
            <v>TECNÓLOGO</v>
          </cell>
          <cell r="C262">
            <v>45</v>
          </cell>
          <cell r="D262" t="str">
            <v>COORDINACION DE PROCESOS LOGISTICOS</v>
          </cell>
          <cell r="E262" t="str">
            <v>18/11/2024</v>
          </cell>
          <cell r="F262">
            <v>46251</v>
          </cell>
          <cell r="G262" t="str">
            <v>17/02/2027</v>
          </cell>
        </row>
        <row r="263">
          <cell r="A263">
            <v>3118507</v>
          </cell>
          <cell r="B263" t="str">
            <v>TECNÓLOGO</v>
          </cell>
          <cell r="C263">
            <v>45</v>
          </cell>
          <cell r="D263" t="str">
            <v>COORDINACION DE PROCESOS LOGISTICOS</v>
          </cell>
          <cell r="E263" t="str">
            <v>18/11/2024</v>
          </cell>
          <cell r="F263">
            <v>46251</v>
          </cell>
          <cell r="G263" t="str">
            <v>17/02/2027</v>
          </cell>
        </row>
        <row r="264">
          <cell r="A264">
            <v>2879837</v>
          </cell>
          <cell r="B264" t="str">
            <v>TECNÓLOGO</v>
          </cell>
          <cell r="C264">
            <v>39</v>
          </cell>
          <cell r="D264" t="str">
            <v>COORDINACION DE PROCESOS LOGISTICOS</v>
          </cell>
          <cell r="E264" t="str">
            <v>20/11/2023</v>
          </cell>
          <cell r="F264">
            <v>45888</v>
          </cell>
          <cell r="G264" t="str">
            <v>19/02/2026</v>
          </cell>
        </row>
        <row r="265">
          <cell r="A265">
            <v>3185933</v>
          </cell>
          <cell r="B265" t="str">
            <v>TECNÓLOGO</v>
          </cell>
          <cell r="C265">
            <v>61</v>
          </cell>
          <cell r="D265" t="str">
            <v>COORDINACION DE PROCESOS LOGISTICOS</v>
          </cell>
          <cell r="E265" t="str">
            <v>31/03/2025</v>
          </cell>
          <cell r="F265">
            <v>46386</v>
          </cell>
          <cell r="G265" t="str">
            <v>30/06/2027</v>
          </cell>
        </row>
        <row r="266">
          <cell r="A266">
            <v>3118493</v>
          </cell>
          <cell r="B266" t="str">
            <v>TECNÓLOGO</v>
          </cell>
          <cell r="C266">
            <v>42</v>
          </cell>
          <cell r="D266" t="str">
            <v>ANALISIS Y DESARROLLO DE SOFTWARE.</v>
          </cell>
          <cell r="E266" t="str">
            <v>18/11/2024</v>
          </cell>
          <cell r="F266">
            <v>46251</v>
          </cell>
          <cell r="G266" t="str">
            <v>17/02/2027</v>
          </cell>
        </row>
        <row r="267">
          <cell r="A267">
            <v>3134618</v>
          </cell>
          <cell r="B267" t="str">
            <v>TECNÓLOGO</v>
          </cell>
          <cell r="C267">
            <v>44</v>
          </cell>
          <cell r="D267" t="str">
            <v>DESARROLLO DE MEDIOS GRAFICOS VISUALES</v>
          </cell>
          <cell r="E267" t="str">
            <v>09/12/2024</v>
          </cell>
          <cell r="F267">
            <v>46273</v>
          </cell>
          <cell r="G267" t="str">
            <v>08/03/2027</v>
          </cell>
        </row>
        <row r="268">
          <cell r="A268">
            <v>2977754</v>
          </cell>
          <cell r="B268" t="str">
            <v>TECNÓLOGO</v>
          </cell>
          <cell r="C268">
            <v>42</v>
          </cell>
          <cell r="D268" t="str">
            <v>COORDINACION DE PROCESOS LOGISTICOS</v>
          </cell>
          <cell r="E268" t="str">
            <v>14/05/2024</v>
          </cell>
          <cell r="F268">
            <v>46066</v>
          </cell>
          <cell r="G268" t="str">
            <v>13/08/2026</v>
          </cell>
        </row>
        <row r="269">
          <cell r="A269">
            <v>3186008</v>
          </cell>
          <cell r="B269" t="str">
            <v>TECNÓLOGO</v>
          </cell>
          <cell r="C269">
            <v>60</v>
          </cell>
          <cell r="D269" t="str">
            <v>DESARROLLO DE MEDIOS GRAFICOS VISUALES</v>
          </cell>
          <cell r="E269" t="str">
            <v>31/03/2025</v>
          </cell>
          <cell r="F269">
            <v>46386</v>
          </cell>
          <cell r="G269" t="str">
            <v>30/06/2027</v>
          </cell>
        </row>
        <row r="270">
          <cell r="A270">
            <v>3235889</v>
          </cell>
          <cell r="B270" t="str">
            <v>TECNÓLOGO</v>
          </cell>
          <cell r="C270">
            <v>57</v>
          </cell>
          <cell r="D270" t="str">
            <v>ANALISIS Y DESARROLLO DE SOFTWARE.</v>
          </cell>
          <cell r="E270" t="str">
            <v>03/06/2025</v>
          </cell>
          <cell r="F270">
            <v>46448</v>
          </cell>
          <cell r="G270" t="str">
            <v>02/09/2027</v>
          </cell>
        </row>
        <row r="271">
          <cell r="A271">
            <v>3336181</v>
          </cell>
          <cell r="B271" t="str">
            <v>TECNÓLOGO</v>
          </cell>
          <cell r="C271">
            <v>52</v>
          </cell>
          <cell r="D271" t="str">
            <v>ANALISIS Y DESARROLLO DE SOFTWARE.</v>
          </cell>
          <cell r="E271" t="str">
            <v>29/09/2025</v>
          </cell>
          <cell r="F271">
            <v>46566</v>
          </cell>
          <cell r="G271" t="str">
            <v>28/12/2027</v>
          </cell>
        </row>
        <row r="272">
          <cell r="A272">
            <v>3336174</v>
          </cell>
          <cell r="B272" t="str">
            <v>TECNÓLOGO</v>
          </cell>
          <cell r="C272">
            <v>58</v>
          </cell>
          <cell r="D272" t="str">
            <v>ANALISIS Y DESARROLLO DE SOFTWARE.</v>
          </cell>
          <cell r="E272" t="str">
            <v>29/09/2025</v>
          </cell>
          <cell r="F272">
            <v>46566</v>
          </cell>
          <cell r="G272" t="str">
            <v>28/12/2027</v>
          </cell>
        </row>
        <row r="273">
          <cell r="A273">
            <v>2989236</v>
          </cell>
          <cell r="B273" t="str">
            <v>TÉCNICO</v>
          </cell>
          <cell r="C273">
            <v>44</v>
          </cell>
          <cell r="D273" t="str">
            <v>ASESORIA COMERCIAL</v>
          </cell>
          <cell r="E273" t="str">
            <v>27/05/2024</v>
          </cell>
          <cell r="F273">
            <v>45714</v>
          </cell>
          <cell r="G273" t="str">
            <v>26/08/2025</v>
          </cell>
        </row>
        <row r="274">
          <cell r="A274">
            <v>3070316</v>
          </cell>
          <cell r="B274" t="str">
            <v>TECNÓLOGO</v>
          </cell>
          <cell r="C274">
            <v>36</v>
          </cell>
          <cell r="D274" t="str">
            <v>ANALISIS Y DESARROLLO DE SOFTWARE.</v>
          </cell>
          <cell r="E274" t="str">
            <v>16/09/2024</v>
          </cell>
          <cell r="F274">
            <v>46188</v>
          </cell>
          <cell r="G274" t="str">
            <v>15/12/2026</v>
          </cell>
        </row>
        <row r="275">
          <cell r="A275">
            <v>3186305</v>
          </cell>
          <cell r="B275" t="str">
            <v>TÉCNICO</v>
          </cell>
          <cell r="C275">
            <v>52</v>
          </cell>
          <cell r="D275" t="str">
            <v>SERVICIOS Y OPERACIONES MICROFINANCIERAS</v>
          </cell>
          <cell r="E275" t="str">
            <v>31/03/2025</v>
          </cell>
          <cell r="F275">
            <v>46021</v>
          </cell>
          <cell r="G275" t="str">
            <v>30/06/2026</v>
          </cell>
        </row>
        <row r="276">
          <cell r="A276">
            <v>3186207</v>
          </cell>
          <cell r="B276" t="str">
            <v>TÉCNICO</v>
          </cell>
          <cell r="C276">
            <v>71</v>
          </cell>
          <cell r="D276" t="str">
            <v>OPERACIONES COMERCIALES EN RETAIL</v>
          </cell>
          <cell r="E276" t="str">
            <v>31/03/2025</v>
          </cell>
          <cell r="F276">
            <v>46021</v>
          </cell>
          <cell r="G276" t="str">
            <v>30/06/2026</v>
          </cell>
        </row>
        <row r="277">
          <cell r="A277">
            <v>3134621</v>
          </cell>
          <cell r="B277" t="str">
            <v>TECNÓLOGO</v>
          </cell>
          <cell r="C277">
            <v>41</v>
          </cell>
          <cell r="D277" t="str">
            <v>ANALISIS Y DESARROLLO DE SOFTWARE.</v>
          </cell>
          <cell r="E277" t="str">
            <v>09/12/2024</v>
          </cell>
          <cell r="F277">
            <v>46273</v>
          </cell>
          <cell r="G277" t="str">
            <v>08/03/2027</v>
          </cell>
        </row>
        <row r="278">
          <cell r="A278">
            <v>3118515</v>
          </cell>
          <cell r="B278" t="str">
            <v>TECNÓLOGO</v>
          </cell>
          <cell r="C278">
            <v>36</v>
          </cell>
          <cell r="D278" t="str">
            <v>DESARROLLO DE MEDIOS GRAFICOS VISUALES</v>
          </cell>
          <cell r="E278" t="str">
            <v>18/11/2024</v>
          </cell>
          <cell r="F278">
            <v>46251</v>
          </cell>
          <cell r="G278" t="str">
            <v>17/02/2027</v>
          </cell>
        </row>
        <row r="279">
          <cell r="A279">
            <v>2977472</v>
          </cell>
          <cell r="B279" t="str">
            <v>TECNÓLOGO</v>
          </cell>
          <cell r="C279">
            <v>46</v>
          </cell>
          <cell r="D279" t="str">
            <v>ANALISIS Y DESARROLLO DE SOFTWARE.</v>
          </cell>
          <cell r="E279" t="str">
            <v>14/05/2024</v>
          </cell>
          <cell r="F279">
            <v>46066</v>
          </cell>
          <cell r="G279" t="str">
            <v>13/08/2026</v>
          </cell>
        </row>
        <row r="280">
          <cell r="A280">
            <v>3186303</v>
          </cell>
          <cell r="B280" t="str">
            <v>TÉCNICO</v>
          </cell>
          <cell r="C280">
            <v>57</v>
          </cell>
          <cell r="D280" t="str">
            <v>SERVICIOS Y OPERACIONES MICROFINANCIERAS</v>
          </cell>
          <cell r="E280" t="str">
            <v>31/03/2025</v>
          </cell>
          <cell r="F280">
            <v>46021</v>
          </cell>
          <cell r="G280" t="str">
            <v>30/06/2026</v>
          </cell>
        </row>
        <row r="281">
          <cell r="A281">
            <v>3186222</v>
          </cell>
          <cell r="B281" t="str">
            <v>TÉCNICO</v>
          </cell>
          <cell r="C281">
            <v>64</v>
          </cell>
          <cell r="D281" t="str">
            <v>OPERACIONES DE COMERCIO EXTERIOR</v>
          </cell>
          <cell r="E281" t="str">
            <v>31/03/2025</v>
          </cell>
          <cell r="F281">
            <v>46021</v>
          </cell>
          <cell r="G281" t="str">
            <v>30/06/2026</v>
          </cell>
        </row>
        <row r="282">
          <cell r="A282">
            <v>3336462</v>
          </cell>
          <cell r="B282" t="str">
            <v>TECNÓLOGO</v>
          </cell>
          <cell r="C282">
            <v>52</v>
          </cell>
          <cell r="D282" t="str">
            <v>COORDINACION DE PROCESOS LOGISTICOS</v>
          </cell>
          <cell r="E282" t="str">
            <v>29/09/2025</v>
          </cell>
          <cell r="F282">
            <v>46566</v>
          </cell>
          <cell r="G282" t="str">
            <v>28/12/2027</v>
          </cell>
        </row>
        <row r="283">
          <cell r="A283">
            <v>3186282</v>
          </cell>
          <cell r="B283" t="str">
            <v>TÉCNICO</v>
          </cell>
          <cell r="C283">
            <v>68</v>
          </cell>
          <cell r="D283" t="str">
            <v>SERVICIOS COMERCIALES Y FINANCIEROS</v>
          </cell>
          <cell r="E283" t="str">
            <v>31/03/2025</v>
          </cell>
          <cell r="F283">
            <v>46021</v>
          </cell>
          <cell r="G283" t="str">
            <v>30/06/2026</v>
          </cell>
        </row>
        <row r="284">
          <cell r="A284">
            <v>3186285</v>
          </cell>
          <cell r="B284" t="str">
            <v>TÉCNICO</v>
          </cell>
          <cell r="C284">
            <v>76</v>
          </cell>
          <cell r="D284" t="str">
            <v>SERVICIOS COMERCIALES Y FINANCIEROS</v>
          </cell>
          <cell r="E284" t="str">
            <v>31/03/2025</v>
          </cell>
          <cell r="F284">
            <v>46021</v>
          </cell>
          <cell r="G284" t="str">
            <v>30/06/2026</v>
          </cell>
        </row>
        <row r="285">
          <cell r="A285">
            <v>3118512</v>
          </cell>
          <cell r="B285" t="str">
            <v>TECNÓLOGO</v>
          </cell>
          <cell r="C285">
            <v>41</v>
          </cell>
          <cell r="D285" t="str">
            <v>DESARROLLO DE MEDIOS GRAFICOS VISUALES</v>
          </cell>
          <cell r="E285" t="str">
            <v>18/11/2024</v>
          </cell>
          <cell r="F285">
            <v>46251</v>
          </cell>
          <cell r="G285" t="str">
            <v>17/02/2027</v>
          </cell>
        </row>
        <row r="286">
          <cell r="A286">
            <v>2977462</v>
          </cell>
          <cell r="B286" t="str">
            <v>TECNÓLOGO</v>
          </cell>
          <cell r="C286">
            <v>40</v>
          </cell>
          <cell r="D286" t="str">
            <v>ANALISIS Y DESARROLLO DE SOFTWARE.</v>
          </cell>
          <cell r="E286" t="str">
            <v>14/05/2024</v>
          </cell>
          <cell r="F286">
            <v>46066</v>
          </cell>
          <cell r="G286" t="str">
            <v>13/08/2026</v>
          </cell>
        </row>
        <row r="287">
          <cell r="A287">
            <v>2977463</v>
          </cell>
          <cell r="B287" t="str">
            <v>TECNÓLOGO</v>
          </cell>
          <cell r="C287">
            <v>40</v>
          </cell>
          <cell r="D287" t="str">
            <v>ANALISIS Y DESARROLLO DE SOFTWARE.</v>
          </cell>
          <cell r="E287" t="str">
            <v>14/05/2024</v>
          </cell>
          <cell r="F287">
            <v>46066</v>
          </cell>
          <cell r="G287" t="str">
            <v>13/08/2026</v>
          </cell>
        </row>
        <row r="288">
          <cell r="A288">
            <v>3070313</v>
          </cell>
          <cell r="B288" t="str">
            <v>TECNÓLOGO</v>
          </cell>
          <cell r="C288">
            <v>34</v>
          </cell>
          <cell r="D288" t="str">
            <v>ANALISIS Y DESARROLLO DE SOFTWARE.</v>
          </cell>
          <cell r="E288" t="str">
            <v>16/09/2024</v>
          </cell>
          <cell r="F288">
            <v>46188</v>
          </cell>
          <cell r="G288" t="str">
            <v>15/12/2026</v>
          </cell>
        </row>
        <row r="289">
          <cell r="A289">
            <v>3186284</v>
          </cell>
          <cell r="B289" t="str">
            <v>TÉCNICO</v>
          </cell>
          <cell r="C289">
            <v>70</v>
          </cell>
          <cell r="D289" t="str">
            <v>SERVICIOS COMERCIALES Y FINANCIEROS</v>
          </cell>
          <cell r="E289" t="str">
            <v>31/03/2025</v>
          </cell>
          <cell r="F289">
            <v>46021</v>
          </cell>
          <cell r="G289" t="str">
            <v>30/06/2026</v>
          </cell>
        </row>
        <row r="290">
          <cell r="A290">
            <v>3336459</v>
          </cell>
          <cell r="B290" t="str">
            <v>TECNÓLOGO</v>
          </cell>
          <cell r="C290">
            <v>54</v>
          </cell>
          <cell r="D290" t="str">
            <v>COORDINACION DE PROCESOS LOGISTICOS</v>
          </cell>
          <cell r="E290" t="str">
            <v>29/09/2025</v>
          </cell>
          <cell r="F290">
            <v>46566</v>
          </cell>
          <cell r="G290" t="str">
            <v>28/12/2027</v>
          </cell>
        </row>
        <row r="291">
          <cell r="A291">
            <v>3118508</v>
          </cell>
          <cell r="B291" t="str">
            <v>TECNÓLOGO</v>
          </cell>
          <cell r="C291">
            <v>41</v>
          </cell>
          <cell r="D291" t="str">
            <v>DESARROLLO DE MEDIOS GRAFICOS VISUALES</v>
          </cell>
          <cell r="E291" t="str">
            <v>18/11/2024</v>
          </cell>
          <cell r="F291">
            <v>46251</v>
          </cell>
          <cell r="G291" t="str">
            <v>17/02/2027</v>
          </cell>
        </row>
        <row r="292">
          <cell r="A292">
            <v>3118501</v>
          </cell>
          <cell r="B292" t="str">
            <v>TECNÓLOGO</v>
          </cell>
          <cell r="C292">
            <v>40</v>
          </cell>
          <cell r="D292" t="str">
            <v>COORDINACION DE PROCESOS LOGISTICOS</v>
          </cell>
          <cell r="E292" t="str">
            <v>18/11/2024</v>
          </cell>
          <cell r="F292">
            <v>46251</v>
          </cell>
          <cell r="G292" t="str">
            <v>17/02/2027</v>
          </cell>
        </row>
        <row r="293">
          <cell r="A293">
            <v>3186281</v>
          </cell>
          <cell r="B293" t="str">
            <v>TÉCNICO</v>
          </cell>
          <cell r="C293">
            <v>70</v>
          </cell>
          <cell r="D293" t="str">
            <v>SERVICIOS COMERCIALES Y FINANCIEROS</v>
          </cell>
          <cell r="E293" t="str">
            <v>31/03/2025</v>
          </cell>
          <cell r="F293">
            <v>46021</v>
          </cell>
          <cell r="G293" t="str">
            <v>30/06/2026</v>
          </cell>
        </row>
        <row r="294">
          <cell r="A294">
            <v>3186283</v>
          </cell>
          <cell r="B294" t="str">
            <v>TÉCNICO</v>
          </cell>
          <cell r="C294">
            <v>64</v>
          </cell>
          <cell r="D294" t="str">
            <v>SERVICIOS COMERCIALES Y FINANCIEROS</v>
          </cell>
          <cell r="E294" t="str">
            <v>31/03/2025</v>
          </cell>
          <cell r="F294">
            <v>46021</v>
          </cell>
          <cell r="G294" t="str">
            <v>30/06/2026</v>
          </cell>
        </row>
        <row r="295">
          <cell r="A295">
            <v>3336183</v>
          </cell>
          <cell r="B295" t="str">
            <v>TECNÓLOGO</v>
          </cell>
          <cell r="C295">
            <v>51</v>
          </cell>
          <cell r="D295" t="str">
            <v>ANALISIS Y DESARROLLO DE SOFTWARE.</v>
          </cell>
          <cell r="E295" t="str">
            <v>29/09/2025</v>
          </cell>
          <cell r="F295">
            <v>46566</v>
          </cell>
          <cell r="G295" t="str">
            <v>28/12/2027</v>
          </cell>
        </row>
        <row r="296">
          <cell r="A296">
            <v>3336178</v>
          </cell>
          <cell r="B296" t="str">
            <v>TECNÓLOGO</v>
          </cell>
          <cell r="C296">
            <v>46</v>
          </cell>
          <cell r="D296" t="str">
            <v>ANALISIS Y DESARROLLO DE SOFTWARE.</v>
          </cell>
          <cell r="E296" t="str">
            <v>29/09/2025</v>
          </cell>
          <cell r="F296">
            <v>46566</v>
          </cell>
          <cell r="G296" t="str">
            <v>28/12/2027</v>
          </cell>
        </row>
        <row r="297">
          <cell r="A297">
            <v>3335837</v>
          </cell>
          <cell r="B297" t="str">
            <v>TECNÓLOGO</v>
          </cell>
          <cell r="C297">
            <v>50</v>
          </cell>
          <cell r="D297" t="str">
            <v>GESTION CONTABLE Y DE INFORMACION FINANCIERA</v>
          </cell>
          <cell r="E297" t="str">
            <v>29/09/2025</v>
          </cell>
          <cell r="F297">
            <v>46566</v>
          </cell>
          <cell r="G297" t="str">
            <v>28/12/2027</v>
          </cell>
        </row>
        <row r="298">
          <cell r="A298">
            <v>2977750</v>
          </cell>
          <cell r="B298" t="str">
            <v>TECNÓLOGO</v>
          </cell>
          <cell r="C298">
            <v>42</v>
          </cell>
          <cell r="D298" t="str">
            <v>COORDINACION DE PROCESOS LOGISTICOS</v>
          </cell>
          <cell r="E298" t="str">
            <v>14/05/2024</v>
          </cell>
          <cell r="F298">
            <v>46066</v>
          </cell>
          <cell r="G298" t="str">
            <v>13/08/2026</v>
          </cell>
        </row>
        <row r="299">
          <cell r="A299">
            <v>2977758</v>
          </cell>
          <cell r="B299" t="str">
            <v>TECNÓLOGO</v>
          </cell>
          <cell r="C299">
            <v>38</v>
          </cell>
          <cell r="D299" t="str">
            <v>COORDINACION DE PROCESOS LOGISTICOS</v>
          </cell>
          <cell r="E299" t="str">
            <v>14/05/2024</v>
          </cell>
          <cell r="F299">
            <v>46066</v>
          </cell>
          <cell r="G299" t="str">
            <v>13/08/2026</v>
          </cell>
        </row>
        <row r="300">
          <cell r="A300">
            <v>3335846</v>
          </cell>
          <cell r="B300" t="str">
            <v>TECNÓLOGO</v>
          </cell>
          <cell r="C300">
            <v>48</v>
          </cell>
          <cell r="D300" t="str">
            <v>GESTION CONTABLE Y DE INFORMACION FINANCIERA</v>
          </cell>
          <cell r="E300" t="str">
            <v>29/09/2025</v>
          </cell>
          <cell r="F300">
            <v>46566</v>
          </cell>
          <cell r="G300" t="str">
            <v>28/12/2027</v>
          </cell>
        </row>
        <row r="301">
          <cell r="A301">
            <v>3235894</v>
          </cell>
          <cell r="B301" t="str">
            <v>TECNÓLOGO</v>
          </cell>
          <cell r="C301">
            <v>59</v>
          </cell>
          <cell r="D301" t="str">
            <v>ANALISIS Y DESARROLLO DE SOFTWARE.</v>
          </cell>
          <cell r="E301" t="str">
            <v>03/06/2025</v>
          </cell>
          <cell r="F301">
            <v>46448</v>
          </cell>
          <cell r="G301" t="str">
            <v>02/09/2027</v>
          </cell>
        </row>
        <row r="302">
          <cell r="A302">
            <v>3186220</v>
          </cell>
          <cell r="B302" t="str">
            <v>TÉCNICO</v>
          </cell>
          <cell r="C302">
            <v>90</v>
          </cell>
          <cell r="D302" t="str">
            <v>OPERACIONES DE COMERCIO EXTERIOR</v>
          </cell>
          <cell r="E302" t="str">
            <v>31/03/2025</v>
          </cell>
          <cell r="F302">
            <v>46021</v>
          </cell>
          <cell r="G302" t="str">
            <v>30/06/2026</v>
          </cell>
        </row>
        <row r="303">
          <cell r="A303">
            <v>3185928</v>
          </cell>
          <cell r="B303" t="str">
            <v>TECNÓLOGO</v>
          </cell>
          <cell r="C303">
            <v>66</v>
          </cell>
          <cell r="D303" t="str">
            <v>COORDINACION DE PROCESOS LOGISTICOS</v>
          </cell>
          <cell r="E303" t="str">
            <v>31/03/2025</v>
          </cell>
          <cell r="F303">
            <v>46386</v>
          </cell>
          <cell r="G303" t="str">
            <v>30/06/2027</v>
          </cell>
        </row>
        <row r="304">
          <cell r="A304">
            <v>2977760</v>
          </cell>
          <cell r="B304" t="str">
            <v>TECNÓLOGO</v>
          </cell>
          <cell r="C304">
            <v>42</v>
          </cell>
          <cell r="D304" t="str">
            <v>COORDINACION DE PROCESOS LOGISTICOS</v>
          </cell>
          <cell r="E304" t="str">
            <v>14/05/2024</v>
          </cell>
          <cell r="F304">
            <v>46066</v>
          </cell>
          <cell r="G304" t="str">
            <v>13/08/2026</v>
          </cell>
        </row>
        <row r="305">
          <cell r="A305">
            <v>3236104</v>
          </cell>
          <cell r="B305" t="str">
            <v>TÉCNICO</v>
          </cell>
          <cell r="C305">
            <v>73</v>
          </cell>
          <cell r="D305" t="str">
            <v>SERVICIOS COMERCIALES Y FINANCIEROS</v>
          </cell>
          <cell r="E305" t="str">
            <v>03/06/2025</v>
          </cell>
          <cell r="F305">
            <v>46083</v>
          </cell>
          <cell r="G305" t="str">
            <v>02/09/2026</v>
          </cell>
        </row>
        <row r="306">
          <cell r="A306">
            <v>2977744</v>
          </cell>
          <cell r="B306" t="str">
            <v>TECNÓLOGO</v>
          </cell>
          <cell r="C306">
            <v>42</v>
          </cell>
          <cell r="D306" t="str">
            <v>COORDINACION DE PROCESOS LOGISTICOS</v>
          </cell>
          <cell r="E306" t="str">
            <v>14/05/2024</v>
          </cell>
          <cell r="F306">
            <v>46066</v>
          </cell>
          <cell r="G306" t="str">
            <v>13/08/2026</v>
          </cell>
        </row>
        <row r="307">
          <cell r="A307">
            <v>3235896</v>
          </cell>
          <cell r="B307" t="str">
            <v>TECNÓLOGO</v>
          </cell>
          <cell r="C307">
            <v>57</v>
          </cell>
          <cell r="D307" t="str">
            <v>ANALISIS Y DESARROLLO DE SOFTWARE.</v>
          </cell>
          <cell r="E307" t="str">
            <v>03/06/2025</v>
          </cell>
          <cell r="F307">
            <v>46448</v>
          </cell>
          <cell r="G307" t="str">
            <v>02/09/2027</v>
          </cell>
        </row>
        <row r="308">
          <cell r="A308">
            <v>3186221</v>
          </cell>
          <cell r="B308" t="str">
            <v>TÉCNICO</v>
          </cell>
          <cell r="C308">
            <v>58</v>
          </cell>
          <cell r="D308" t="str">
            <v>OPERACIONES DE COMERCIO EXTERIOR</v>
          </cell>
          <cell r="E308" t="str">
            <v>31/03/2025</v>
          </cell>
          <cell r="F308">
            <v>46021</v>
          </cell>
          <cell r="G308" t="str">
            <v>30/06/2026</v>
          </cell>
        </row>
        <row r="309">
          <cell r="A309">
            <v>3336176</v>
          </cell>
          <cell r="B309" t="str">
            <v>TECNÓLOGO</v>
          </cell>
          <cell r="C309">
            <v>61</v>
          </cell>
          <cell r="D309" t="str">
            <v>ANALISIS Y DESARROLLO DE SOFTWARE.</v>
          </cell>
          <cell r="E309" t="str">
            <v>29/09/2025</v>
          </cell>
          <cell r="F309">
            <v>46566</v>
          </cell>
          <cell r="G309" t="str">
            <v>28/12/2027</v>
          </cell>
        </row>
        <row r="310">
          <cell r="A310">
            <v>3185927</v>
          </cell>
          <cell r="B310" t="str">
            <v>TECNÓLOGO</v>
          </cell>
          <cell r="C310">
            <v>62</v>
          </cell>
          <cell r="D310" t="str">
            <v>COORDINACION DE PROCESOS LOGISTICOS</v>
          </cell>
          <cell r="E310" t="str">
            <v>31/03/2025</v>
          </cell>
          <cell r="F310">
            <v>46386</v>
          </cell>
          <cell r="G310" t="str">
            <v>30/06/2027</v>
          </cell>
        </row>
        <row r="311">
          <cell r="A311">
            <v>3070321</v>
          </cell>
          <cell r="B311" t="str">
            <v>TECNÓLOGO</v>
          </cell>
          <cell r="C311">
            <v>32</v>
          </cell>
          <cell r="D311" t="str">
            <v>ANALISIS Y DESARROLLO DE SOFTWARE.</v>
          </cell>
          <cell r="E311" t="str">
            <v>16/09/2024</v>
          </cell>
          <cell r="F311">
            <v>46188</v>
          </cell>
          <cell r="G311" t="str">
            <v>15/12/2026</v>
          </cell>
        </row>
        <row r="312">
          <cell r="A312">
            <v>3236103</v>
          </cell>
          <cell r="B312" t="str">
            <v>TÉCNICO</v>
          </cell>
          <cell r="C312">
            <v>68</v>
          </cell>
          <cell r="D312" t="str">
            <v>SERVICIOS COMERCIALES Y FINANCIEROS</v>
          </cell>
          <cell r="E312" t="str">
            <v>03/06/2025</v>
          </cell>
          <cell r="F312">
            <v>46083</v>
          </cell>
          <cell r="G312" t="str">
            <v>02/09/2026</v>
          </cell>
        </row>
        <row r="313">
          <cell r="A313">
            <v>3118505</v>
          </cell>
          <cell r="B313" t="str">
            <v>TECNÓLOGO</v>
          </cell>
          <cell r="C313">
            <v>44</v>
          </cell>
          <cell r="D313" t="str">
            <v>COORDINACION DE PROCESOS LOGISTICOS</v>
          </cell>
          <cell r="E313" t="str">
            <v>18/11/2024</v>
          </cell>
          <cell r="F313">
            <v>46251</v>
          </cell>
          <cell r="G313" t="str">
            <v>17/02/2027</v>
          </cell>
        </row>
        <row r="314">
          <cell r="A314">
            <v>3236113</v>
          </cell>
          <cell r="B314" t="str">
            <v>TÉCNICO</v>
          </cell>
          <cell r="C314">
            <v>67</v>
          </cell>
          <cell r="D314" t="str">
            <v>SERVICIOS Y OPERACIONES MICROFINANCIERAS</v>
          </cell>
          <cell r="E314" t="str">
            <v>03/06/2025</v>
          </cell>
          <cell r="F314">
            <v>46083</v>
          </cell>
          <cell r="G314" t="str">
            <v>02/09/2026</v>
          </cell>
        </row>
        <row r="315">
          <cell r="A315">
            <v>3186304</v>
          </cell>
          <cell r="B315" t="str">
            <v>TÉCNICO</v>
          </cell>
          <cell r="C315">
            <v>73</v>
          </cell>
          <cell r="D315" t="str">
            <v>SERVICIOS Y OPERACIONES MICROFINANCIERAS</v>
          </cell>
          <cell r="E315" t="str">
            <v>31/03/2025</v>
          </cell>
          <cell r="F315">
            <v>46021</v>
          </cell>
          <cell r="G315" t="str">
            <v>30/06/2026</v>
          </cell>
        </row>
        <row r="316">
          <cell r="A316">
            <v>3070318</v>
          </cell>
          <cell r="B316" t="str">
            <v>TECNÓLOGO</v>
          </cell>
          <cell r="C316">
            <v>39</v>
          </cell>
          <cell r="D316" t="str">
            <v>ANALISIS Y DESARROLLO DE SOFTWARE.</v>
          </cell>
          <cell r="E316" t="str">
            <v>16/09/2024</v>
          </cell>
          <cell r="F316">
            <v>46188</v>
          </cell>
          <cell r="G316" t="str">
            <v>15/12/2026</v>
          </cell>
        </row>
        <row r="317">
          <cell r="A317">
            <v>2675746</v>
          </cell>
          <cell r="B317" t="str">
            <v>TECNÓLOGO</v>
          </cell>
          <cell r="C317">
            <v>8</v>
          </cell>
          <cell r="D317" t="str">
            <v>DESARROLLO DE MEDIOS GRAFICOS VISUALES</v>
          </cell>
          <cell r="E317" t="str">
            <v>21/11/2022</v>
          </cell>
          <cell r="F317">
            <v>45524</v>
          </cell>
          <cell r="G317" t="str">
            <v>20/02/2025</v>
          </cell>
        </row>
        <row r="318">
          <cell r="A318">
            <v>3167875</v>
          </cell>
          <cell r="B318" t="str">
            <v>TÉCNICO</v>
          </cell>
          <cell r="C318">
            <v>51</v>
          </cell>
          <cell r="D318" t="str">
            <v>ASESORIA COMERCIAL</v>
          </cell>
          <cell r="E318" t="str">
            <v>01/04/2025</v>
          </cell>
          <cell r="F318">
            <v>46022</v>
          </cell>
          <cell r="G318" t="str">
            <v>31/12/2025</v>
          </cell>
        </row>
        <row r="319">
          <cell r="A319">
            <v>3118491</v>
          </cell>
          <cell r="B319" t="str">
            <v>TECNÓLOGO</v>
          </cell>
          <cell r="C319">
            <v>45</v>
          </cell>
          <cell r="D319" t="str">
            <v>ANALISIS Y DESARROLLO DE SOFTWARE.</v>
          </cell>
          <cell r="E319" t="str">
            <v>18/11/2024</v>
          </cell>
          <cell r="F319">
            <v>46251</v>
          </cell>
          <cell r="G319" t="str">
            <v>17/02/2027</v>
          </cell>
        </row>
        <row r="320">
          <cell r="A320">
            <v>3167877</v>
          </cell>
          <cell r="B320" t="str">
            <v>TÉCNICO</v>
          </cell>
          <cell r="C320">
            <v>56</v>
          </cell>
          <cell r="D320" t="str">
            <v>ASESORIA COMERCIAL</v>
          </cell>
          <cell r="E320" t="str">
            <v>01/04/2025</v>
          </cell>
          <cell r="F320">
            <v>46022</v>
          </cell>
          <cell r="G320" t="str">
            <v>31/12/2025</v>
          </cell>
        </row>
        <row r="321">
          <cell r="A321">
            <v>3235976</v>
          </cell>
          <cell r="B321" t="str">
            <v>TECNÓLOGO</v>
          </cell>
          <cell r="C321">
            <v>68</v>
          </cell>
          <cell r="D321" t="str">
            <v>COORDINACION DE PROCESOS LOGISTICOS</v>
          </cell>
          <cell r="E321" t="str">
            <v>03/06/2025</v>
          </cell>
          <cell r="F321">
            <v>46448</v>
          </cell>
          <cell r="G321" t="str">
            <v>02/09/2027</v>
          </cell>
        </row>
        <row r="322">
          <cell r="A322">
            <v>3070338</v>
          </cell>
          <cell r="B322" t="str">
            <v>TECNÓLOGO</v>
          </cell>
          <cell r="C322">
            <v>35</v>
          </cell>
          <cell r="D322" t="str">
            <v>COORDINACION DE PROCESOS LOGISTICOS</v>
          </cell>
          <cell r="E322" t="str">
            <v>16/09/2024</v>
          </cell>
          <cell r="F322">
            <v>46188</v>
          </cell>
          <cell r="G322" t="str">
            <v>15/12/2026</v>
          </cell>
        </row>
        <row r="323">
          <cell r="A323">
            <v>2977458</v>
          </cell>
          <cell r="B323" t="str">
            <v>TECNÓLOGO</v>
          </cell>
          <cell r="C323">
            <v>36</v>
          </cell>
          <cell r="D323" t="str">
            <v>ANALISIS Y DESARROLLO DE SOFTWARE.</v>
          </cell>
          <cell r="E323" t="str">
            <v>14/05/2024</v>
          </cell>
          <cell r="F323">
            <v>46066</v>
          </cell>
          <cell r="G323" t="str">
            <v>13/08/2026</v>
          </cell>
        </row>
        <row r="324">
          <cell r="A324">
            <v>2977225</v>
          </cell>
          <cell r="B324" t="str">
            <v>TECNÓLOGO</v>
          </cell>
          <cell r="C324">
            <v>36</v>
          </cell>
          <cell r="D324" t="str">
            <v>DESARROLLO DE MEDIOS GRAFICOS VISUALES</v>
          </cell>
          <cell r="E324" t="str">
            <v>14/05/2024</v>
          </cell>
          <cell r="F324">
            <v>46066</v>
          </cell>
          <cell r="G324" t="str">
            <v>13/08/2026</v>
          </cell>
        </row>
        <row r="325">
          <cell r="A325">
            <v>2977749</v>
          </cell>
          <cell r="B325" t="str">
            <v>TECNÓLOGO</v>
          </cell>
          <cell r="C325">
            <v>41</v>
          </cell>
          <cell r="D325" t="str">
            <v>COORDINACION DE PROCESOS LOGISTICOS</v>
          </cell>
          <cell r="E325" t="str">
            <v>14/05/2024</v>
          </cell>
          <cell r="F325">
            <v>46066</v>
          </cell>
          <cell r="G325" t="str">
            <v>13/08/2026</v>
          </cell>
        </row>
        <row r="326">
          <cell r="A326">
            <v>2977740</v>
          </cell>
          <cell r="B326" t="str">
            <v>TECNÓLOGO</v>
          </cell>
          <cell r="C326">
            <v>38</v>
          </cell>
          <cell r="D326" t="str">
            <v>COORDINACION DE PROCESOS LOGISTICOS</v>
          </cell>
          <cell r="E326" t="str">
            <v>14/05/2024</v>
          </cell>
          <cell r="F326">
            <v>46066</v>
          </cell>
          <cell r="G326" t="str">
            <v>13/08/2026</v>
          </cell>
        </row>
        <row r="327">
          <cell r="A327">
            <v>2977742</v>
          </cell>
          <cell r="B327" t="str">
            <v>TECNÓLOGO</v>
          </cell>
          <cell r="C327">
            <v>45</v>
          </cell>
          <cell r="D327" t="str">
            <v>COORDINACION DE PROCESOS LOGISTICOS</v>
          </cell>
          <cell r="E327" t="str">
            <v>14/05/2024</v>
          </cell>
          <cell r="F327">
            <v>46066</v>
          </cell>
          <cell r="G327" t="str">
            <v>13/08/2026</v>
          </cell>
        </row>
        <row r="328">
          <cell r="A328">
            <v>3167876</v>
          </cell>
          <cell r="B328" t="str">
            <v>TÉCNICO</v>
          </cell>
          <cell r="C328">
            <v>42</v>
          </cell>
          <cell r="D328" t="str">
            <v>ASESORIA COMERCIAL</v>
          </cell>
          <cell r="E328" t="str">
            <v>01/04/2025</v>
          </cell>
          <cell r="F328">
            <v>46022</v>
          </cell>
          <cell r="G328" t="str">
            <v>31/12/2025</v>
          </cell>
        </row>
        <row r="329">
          <cell r="A329">
            <v>3356110</v>
          </cell>
          <cell r="B329" t="str">
            <v>TÉCNICO</v>
          </cell>
          <cell r="D329" t="str">
            <v>OPERACIONES COMERCIALES EN RETAIL</v>
          </cell>
          <cell r="E329" t="str">
            <v>27/10/2025</v>
          </cell>
          <cell r="F329" t="str">
            <v>26/07/2026</v>
          </cell>
          <cell r="G329" t="str">
            <v>26/07/2027</v>
          </cell>
        </row>
        <row r="330">
          <cell r="A330">
            <v>3356112</v>
          </cell>
          <cell r="B330" t="str">
            <v>TÉCNICO</v>
          </cell>
          <cell r="D330" t="str">
            <v>OPERACIONES COMERCIALES EN RETAIL</v>
          </cell>
          <cell r="E330" t="str">
            <v>27/10/2026</v>
          </cell>
          <cell r="F330" t="str">
            <v>26/07/2026</v>
          </cell>
          <cell r="G330" t="str">
            <v>26/07/2027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eonardo Hernández Silva" id="{E1F5D3D2-9533-412A-847B-E94089A6BA8A}" userId="S::lhernandezs@sena.edu.co::3594295a-2bdf-43bd-b829-1286ce5bed8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5-05-21T20:17:02.83" personId="{E1F5D3D2-9533-412A-847B-E94089A6BA8A}" id="{63BC60F0-50F3-4280-8D54-403FC3C0F389}">
    <text>postobon</text>
  </threadedComment>
  <threadedComment ref="A16" dT="2025-05-21T20:17:15.34" personId="{E1F5D3D2-9533-412A-847B-E94089A6BA8A}" id="{27E7A7FD-05DB-47BF-B519-476F536EF4F2}">
    <text>postobon</text>
  </threadedComment>
  <threadedComment ref="A17" dT="2025-05-21T20:17:28.51" personId="{E1F5D3D2-9533-412A-847B-E94089A6BA8A}" id="{F7873A85-A766-4EAD-8E7D-7E65B3857D62}">
    <text>postobon</text>
  </threadedComment>
  <threadedComment ref="AL18" dT="2025-06-19T16:46:03.68" personId="{E1F5D3D2-9533-412A-847B-E94089A6BA8A}" id="{5C8CFA1D-8253-4F85-B1FC-BB5AD795AC00}">
    <text>Comenzaron con Maritzabel Montealegre</text>
  </threadedComment>
  <threadedComment ref="AL157" dT="2025-06-19T16:46:03.68" personId="{E1F5D3D2-9533-412A-847B-E94089A6BA8A}" id="{97C67868-E361-42CC-A9F4-3589C760EF24}">
    <text>Comenzaron con Maritzabel Montealegre</text>
  </threadedComment>
  <threadedComment ref="AR157" dT="2025-06-19T16:46:03.68" personId="{E1F5D3D2-9533-412A-847B-E94089A6BA8A}" id="{57834EC2-8537-430C-ABEA-1C55AEF1F108}">
    <text>Comenzaron con Maritzabel Montealegre</text>
  </threadedComment>
  <threadedComment ref="AL158" dT="2025-06-19T16:46:03.68" personId="{E1F5D3D2-9533-412A-847B-E94089A6BA8A}" id="{B90C3E83-A16F-4C56-AC3C-62A5C277D5E5}">
    <text>Comenzaron con Maritzabel Montealegre</text>
  </threadedComment>
  <threadedComment ref="AR158" dT="2025-06-19T16:46:03.68" personId="{E1F5D3D2-9533-412A-847B-E94089A6BA8A}" id="{87F5B42B-FC93-4C20-BC01-B26D40C09CDE}">
    <text>Comenzaron con Maritzabel Montealegre</text>
  </threadedComment>
  <threadedComment ref="AL160" dT="2025-06-19T16:46:03.68" personId="{E1F5D3D2-9533-412A-847B-E94089A6BA8A}" id="{11C66A1F-A97C-4C2B-A572-F6E4C6E780CC}">
    <text>Comenzaron con Maritzabel Montealegre</text>
  </threadedComment>
  <threadedComment ref="AR160" dT="2025-06-19T16:46:03.68" personId="{E1F5D3D2-9533-412A-847B-E94089A6BA8A}" id="{3AC2AF40-BC75-4BE6-9F3C-658EFFFCCC57}">
    <text>Comenzaron con Maritzabel Montealegre</text>
  </threadedComment>
  <threadedComment ref="AL162" dT="2025-06-19T16:46:03.68" personId="{E1F5D3D2-9533-412A-847B-E94089A6BA8A}" id="{C07CA20A-25DD-45F3-AFAA-63D712EA7637}">
    <text>Comenzaron con Maritzabel Montealegre</text>
  </threadedComment>
  <threadedComment ref="AR162" dT="2025-06-19T16:46:03.68" personId="{E1F5D3D2-9533-412A-847B-E94089A6BA8A}" id="{3CC4B5EB-F7F6-49C3-A7FD-133C9A14960D}">
    <text>Comenzaron con Maritzabel Montealegre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5" dT="2025-05-21T20:17:02.83" personId="{E1F5D3D2-9533-412A-847B-E94089A6BA8A}" id="{AF6FCB70-E41F-481D-B7E0-58F690E16BA1}">
    <text>postobon</text>
  </threadedComment>
  <threadedComment ref="A16" dT="2025-05-21T20:17:15.34" personId="{E1F5D3D2-9533-412A-847B-E94089A6BA8A}" id="{0D74ED25-63DF-413A-A597-EE1A6F2A9D71}">
    <text>postobon</text>
  </threadedComment>
  <threadedComment ref="A17" dT="2025-05-21T20:17:28.51" personId="{E1F5D3D2-9533-412A-847B-E94089A6BA8A}" id="{701B65A0-4C46-4F81-87E5-8EE77B85F026}">
    <text>postobon</text>
  </threadedComment>
  <threadedComment ref="AL18" dT="2025-06-19T16:46:03.68" personId="{E1F5D3D2-9533-412A-847B-E94089A6BA8A}" id="{7724CD3A-C2D4-4201-92DD-07AD0C5C6A24}">
    <text>Comenzaron con Maritzabel Montealegre</text>
  </threadedComment>
  <threadedComment ref="AL157" dT="2025-06-19T16:46:03.68" personId="{E1F5D3D2-9533-412A-847B-E94089A6BA8A}" id="{BB124B4F-1F30-4732-8203-A0842A01DBD3}">
    <text>Comenzaron con Maritzabel Montealegre</text>
  </threadedComment>
  <threadedComment ref="AR157" dT="2025-06-19T16:46:03.68" personId="{E1F5D3D2-9533-412A-847B-E94089A6BA8A}" id="{51FA4F72-2D59-47F4-B16C-F8360048559A}">
    <text>Comenzaron con Maritzabel Montealegre</text>
  </threadedComment>
  <threadedComment ref="AL158" dT="2025-06-19T16:46:03.68" personId="{E1F5D3D2-9533-412A-847B-E94089A6BA8A}" id="{5D70A743-1EC4-487A-BD9C-61E2941B4DF0}">
    <text>Comenzaron con Maritzabel Montealegre</text>
  </threadedComment>
  <threadedComment ref="AR158" dT="2025-06-19T16:46:03.68" personId="{E1F5D3D2-9533-412A-847B-E94089A6BA8A}" id="{76FA8D25-EE8C-451A-AC6A-A8D8CAF0709D}">
    <text>Comenzaron con Maritzabel Montealegre</text>
  </threadedComment>
  <threadedComment ref="AL160" dT="2025-06-19T16:46:03.68" personId="{E1F5D3D2-9533-412A-847B-E94089A6BA8A}" id="{217BA3DD-A859-4295-8101-974DF63F2585}">
    <text>Comenzaron con Maritzabel Montealegre</text>
  </threadedComment>
  <threadedComment ref="AR160" dT="2025-06-19T16:46:03.68" personId="{E1F5D3D2-9533-412A-847B-E94089A6BA8A}" id="{F768E07F-DA4A-46F6-84D6-87E54F16B6BC}">
    <text>Comenzaron con Maritzabel Montealegre</text>
  </threadedComment>
  <threadedComment ref="AL162" dT="2025-06-19T16:46:03.68" personId="{E1F5D3D2-9533-412A-847B-E94089A6BA8A}" id="{2ECDD6CE-3135-4CC9-9687-963A7F6BFC68}">
    <text>Comenzaron con Maritzabel Montealegre</text>
  </threadedComment>
  <threadedComment ref="AR162" dT="2025-06-19T16:46:03.68" personId="{E1F5D3D2-9533-412A-847B-E94089A6BA8A}" id="{226F6957-B7D9-4BB3-BFA7-3AE9CC1C61CB}">
    <text>Comenzaron con Maritzabel Montealegre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7D12-8C36-4230-A6B4-661E3018F3AE}">
  <dimension ref="A1:K54"/>
  <sheetViews>
    <sheetView topLeftCell="D33" workbookViewId="0">
      <selection activeCell="F18" sqref="F18"/>
    </sheetView>
  </sheetViews>
  <sheetFormatPr baseColWidth="10" defaultColWidth="11.42578125" defaultRowHeight="15" x14ac:dyDescent="0.25"/>
  <cols>
    <col min="1" max="1" width="13.28515625" customWidth="1"/>
    <col min="3" max="3" width="9.7109375" customWidth="1"/>
    <col min="4" max="4" width="17.42578125" customWidth="1"/>
    <col min="5" max="5" width="39.140625" customWidth="1"/>
    <col min="6" max="6" width="73.42578125" customWidth="1"/>
    <col min="7" max="7" width="15.85546875" customWidth="1"/>
    <col min="8" max="8" width="39.5703125" customWidth="1"/>
    <col min="9" max="9" width="26.85546875" customWidth="1"/>
    <col min="10" max="10" width="27.28515625" customWidth="1"/>
    <col min="11" max="11" width="42.85546875" customWidth="1"/>
  </cols>
  <sheetData>
    <row r="1" spans="1:11" ht="42.75" customHeight="1" x14ac:dyDescent="0.4">
      <c r="A1" s="131" t="s">
        <v>0</v>
      </c>
      <c r="B1" s="132"/>
      <c r="C1" s="132"/>
      <c r="D1" s="132"/>
      <c r="E1" s="132"/>
      <c r="F1" s="133"/>
      <c r="G1" s="5"/>
      <c r="H1" s="134" t="s">
        <v>1</v>
      </c>
      <c r="I1" s="135"/>
      <c r="J1" s="135"/>
      <c r="K1" s="136"/>
    </row>
    <row r="2" spans="1:11" ht="37.5" customHeight="1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1"/>
      <c r="H2" s="4" t="s">
        <v>8</v>
      </c>
      <c r="I2" s="4" t="s">
        <v>9</v>
      </c>
      <c r="J2" s="4" t="s">
        <v>10</v>
      </c>
      <c r="K2" s="44" t="s">
        <v>11</v>
      </c>
    </row>
    <row r="3" spans="1:11" x14ac:dyDescent="0.25">
      <c r="A3" s="6">
        <v>46044</v>
      </c>
      <c r="B3" s="7">
        <v>3235891</v>
      </c>
      <c r="C3" s="7" t="s">
        <v>12</v>
      </c>
      <c r="D3" s="7">
        <v>1007409733</v>
      </c>
      <c r="E3" s="7" t="s">
        <v>13</v>
      </c>
      <c r="F3" s="7" t="s">
        <v>14</v>
      </c>
      <c r="G3" s="8"/>
      <c r="H3" s="9" t="s">
        <v>15</v>
      </c>
      <c r="I3" s="9" t="s">
        <v>16</v>
      </c>
      <c r="J3" s="38" t="s">
        <v>17</v>
      </c>
      <c r="K3" s="33"/>
    </row>
    <row r="4" spans="1:11" x14ac:dyDescent="0.25">
      <c r="A4" s="6">
        <v>46044</v>
      </c>
      <c r="B4" s="7">
        <v>2977755</v>
      </c>
      <c r="C4" s="7" t="s">
        <v>12</v>
      </c>
      <c r="D4" s="7">
        <v>1044616637</v>
      </c>
      <c r="E4" s="7" t="s">
        <v>18</v>
      </c>
      <c r="F4" s="7" t="s">
        <v>19</v>
      </c>
      <c r="G4" s="8"/>
      <c r="H4" s="9" t="s">
        <v>20</v>
      </c>
      <c r="I4" s="9" t="s">
        <v>16</v>
      </c>
      <c r="J4" s="38" t="s">
        <v>17</v>
      </c>
      <c r="K4" s="33"/>
    </row>
    <row r="5" spans="1:11" x14ac:dyDescent="0.25">
      <c r="A5" s="6">
        <v>46044</v>
      </c>
      <c r="B5" s="7">
        <v>3336173</v>
      </c>
      <c r="C5" s="7" t="s">
        <v>12</v>
      </c>
      <c r="D5" s="7">
        <v>1002609671</v>
      </c>
      <c r="E5" s="7" t="s">
        <v>21</v>
      </c>
      <c r="F5" s="7" t="s">
        <v>14</v>
      </c>
      <c r="G5" s="8"/>
      <c r="H5" s="9" t="s">
        <v>22</v>
      </c>
      <c r="I5" s="9" t="s">
        <v>16</v>
      </c>
      <c r="J5" s="38" t="s">
        <v>17</v>
      </c>
      <c r="K5" s="33"/>
    </row>
    <row r="6" spans="1:11" ht="18" customHeight="1" x14ac:dyDescent="0.25">
      <c r="A6" s="6">
        <v>46044</v>
      </c>
      <c r="B6" s="7">
        <v>3186282</v>
      </c>
      <c r="C6" s="7" t="s">
        <v>12</v>
      </c>
      <c r="D6" s="7">
        <v>1235538925</v>
      </c>
      <c r="E6" s="10" t="s">
        <v>23</v>
      </c>
      <c r="F6" s="7" t="s">
        <v>24</v>
      </c>
      <c r="G6" s="8"/>
      <c r="H6" s="9" t="s">
        <v>25</v>
      </c>
      <c r="I6" s="9" t="s">
        <v>16</v>
      </c>
      <c r="J6" s="38" t="s">
        <v>17</v>
      </c>
      <c r="K6" s="33"/>
    </row>
    <row r="7" spans="1:11" x14ac:dyDescent="0.25">
      <c r="A7" s="6">
        <v>46044</v>
      </c>
      <c r="B7" s="7">
        <v>3186283</v>
      </c>
      <c r="C7" s="7" t="s">
        <v>12</v>
      </c>
      <c r="D7" s="7">
        <v>1045739357</v>
      </c>
      <c r="E7" s="11" t="s">
        <v>26</v>
      </c>
      <c r="F7" s="7" t="s">
        <v>24</v>
      </c>
      <c r="G7" s="8"/>
      <c r="H7" s="9" t="s">
        <v>25</v>
      </c>
      <c r="I7" s="9" t="s">
        <v>16</v>
      </c>
      <c r="J7" s="38" t="s">
        <v>17</v>
      </c>
      <c r="K7" s="33"/>
    </row>
    <row r="8" spans="1:11" x14ac:dyDescent="0.25">
      <c r="A8" s="6">
        <v>46044</v>
      </c>
      <c r="B8" s="7">
        <v>3236062</v>
      </c>
      <c r="C8" s="7" t="s">
        <v>12</v>
      </c>
      <c r="D8" s="7">
        <v>1089481201</v>
      </c>
      <c r="E8" s="7" t="s">
        <v>27</v>
      </c>
      <c r="F8" s="7" t="s">
        <v>24</v>
      </c>
      <c r="G8" s="8"/>
      <c r="H8" s="9" t="s">
        <v>28</v>
      </c>
      <c r="I8" s="9" t="s">
        <v>16</v>
      </c>
      <c r="J8" s="38" t="s">
        <v>17</v>
      </c>
      <c r="K8" s="33"/>
    </row>
    <row r="9" spans="1:11" x14ac:dyDescent="0.25">
      <c r="A9" s="6">
        <v>46044</v>
      </c>
      <c r="B9" s="7">
        <v>3186284</v>
      </c>
      <c r="C9" s="7" t="s">
        <v>12</v>
      </c>
      <c r="D9" s="7">
        <v>1034656784</v>
      </c>
      <c r="E9" s="7" t="s">
        <v>29</v>
      </c>
      <c r="F9" s="7" t="s">
        <v>24</v>
      </c>
      <c r="G9" s="8"/>
      <c r="H9" s="9" t="s">
        <v>30</v>
      </c>
      <c r="I9" s="9" t="s">
        <v>16</v>
      </c>
      <c r="J9" s="38" t="s">
        <v>17</v>
      </c>
      <c r="K9" s="33"/>
    </row>
    <row r="10" spans="1:11" x14ac:dyDescent="0.25">
      <c r="A10" s="6">
        <v>46044</v>
      </c>
      <c r="B10" s="7">
        <v>2879838</v>
      </c>
      <c r="C10" s="7" t="s">
        <v>12</v>
      </c>
      <c r="D10" s="7">
        <v>1007255079</v>
      </c>
      <c r="E10" s="11" t="s">
        <v>31</v>
      </c>
      <c r="F10" s="7" t="s">
        <v>19</v>
      </c>
      <c r="G10" s="8"/>
      <c r="H10" s="9" t="s">
        <v>25</v>
      </c>
      <c r="I10" s="9" t="s">
        <v>16</v>
      </c>
      <c r="J10" s="38" t="s">
        <v>17</v>
      </c>
      <c r="K10" s="33"/>
    </row>
    <row r="11" spans="1:11" x14ac:dyDescent="0.25">
      <c r="A11" s="6">
        <v>46044</v>
      </c>
      <c r="B11" s="7">
        <v>3186222</v>
      </c>
      <c r="C11" s="7" t="s">
        <v>12</v>
      </c>
      <c r="D11" s="7">
        <v>1002201083</v>
      </c>
      <c r="E11" s="11" t="s">
        <v>32</v>
      </c>
      <c r="F11" s="12" t="s">
        <v>33</v>
      </c>
      <c r="G11" s="8"/>
      <c r="H11" s="9" t="s">
        <v>25</v>
      </c>
      <c r="I11" s="9" t="s">
        <v>16</v>
      </c>
      <c r="J11" s="38" t="s">
        <v>17</v>
      </c>
      <c r="K11" s="33"/>
    </row>
    <row r="12" spans="1:11" x14ac:dyDescent="0.25">
      <c r="A12" s="6">
        <v>46044</v>
      </c>
      <c r="B12" s="7">
        <v>3335836</v>
      </c>
      <c r="C12" s="7" t="s">
        <v>12</v>
      </c>
      <c r="D12" s="7">
        <v>1069402661</v>
      </c>
      <c r="E12" s="13" t="s">
        <v>34</v>
      </c>
      <c r="F12" s="14" t="s">
        <v>35</v>
      </c>
      <c r="G12" s="8"/>
      <c r="H12" s="9" t="s">
        <v>36</v>
      </c>
      <c r="I12" s="9" t="s">
        <v>16</v>
      </c>
      <c r="J12" s="38" t="s">
        <v>17</v>
      </c>
      <c r="K12" s="33"/>
    </row>
    <row r="13" spans="1:11" x14ac:dyDescent="0.25">
      <c r="A13" s="6">
        <v>46044</v>
      </c>
      <c r="B13" s="7">
        <v>3186304</v>
      </c>
      <c r="C13" s="7" t="s">
        <v>12</v>
      </c>
      <c r="D13" s="7">
        <v>1073176065</v>
      </c>
      <c r="E13" s="11" t="s">
        <v>37</v>
      </c>
      <c r="F13" s="15" t="s">
        <v>38</v>
      </c>
      <c r="G13" s="8"/>
      <c r="H13" s="9" t="s">
        <v>25</v>
      </c>
      <c r="I13" s="9" t="s">
        <v>16</v>
      </c>
      <c r="J13" s="38" t="s">
        <v>17</v>
      </c>
      <c r="K13" s="33"/>
    </row>
    <row r="14" spans="1:11" x14ac:dyDescent="0.25">
      <c r="A14" s="6">
        <v>46044</v>
      </c>
      <c r="B14" s="7">
        <v>2977227</v>
      </c>
      <c r="C14" s="7" t="s">
        <v>12</v>
      </c>
      <c r="D14" s="7">
        <v>1034986359</v>
      </c>
      <c r="E14" s="7" t="s">
        <v>39</v>
      </c>
      <c r="F14" s="7" t="s">
        <v>40</v>
      </c>
      <c r="G14" s="8"/>
      <c r="H14" s="9" t="s">
        <v>41</v>
      </c>
      <c r="I14" s="9" t="s">
        <v>16</v>
      </c>
      <c r="J14" s="38" t="s">
        <v>17</v>
      </c>
      <c r="K14" s="33"/>
    </row>
    <row r="15" spans="1:11" x14ac:dyDescent="0.25">
      <c r="A15" s="6">
        <v>46044</v>
      </c>
      <c r="B15" s="7">
        <v>2977744</v>
      </c>
      <c r="C15" s="7" t="s">
        <v>12</v>
      </c>
      <c r="D15" s="7">
        <v>1073523599</v>
      </c>
      <c r="E15" s="7" t="s">
        <v>42</v>
      </c>
      <c r="F15" s="7" t="s">
        <v>19</v>
      </c>
      <c r="G15" s="8"/>
      <c r="H15" s="9" t="s">
        <v>43</v>
      </c>
      <c r="I15" s="9" t="s">
        <v>16</v>
      </c>
      <c r="J15" s="38" t="s">
        <v>17</v>
      </c>
      <c r="K15" s="33"/>
    </row>
    <row r="16" spans="1:11" x14ac:dyDescent="0.25">
      <c r="A16" s="6">
        <v>46044</v>
      </c>
      <c r="B16" s="7">
        <v>3236103</v>
      </c>
      <c r="C16" s="7" t="s">
        <v>12</v>
      </c>
      <c r="D16" s="7">
        <v>1036683569</v>
      </c>
      <c r="E16" s="7" t="s">
        <v>44</v>
      </c>
      <c r="F16" s="7" t="s">
        <v>24</v>
      </c>
      <c r="G16" s="8"/>
      <c r="H16" s="9" t="s">
        <v>45</v>
      </c>
      <c r="I16" s="9" t="s">
        <v>16</v>
      </c>
      <c r="J16" s="38" t="s">
        <v>17</v>
      </c>
      <c r="K16" s="33"/>
    </row>
    <row r="17" spans="1:11" x14ac:dyDescent="0.25">
      <c r="A17" s="6">
        <v>46044</v>
      </c>
      <c r="B17" s="7">
        <v>3118504</v>
      </c>
      <c r="C17" s="7" t="s">
        <v>12</v>
      </c>
      <c r="D17" s="7">
        <v>1130767075</v>
      </c>
      <c r="E17" s="7" t="s">
        <v>46</v>
      </c>
      <c r="F17" s="7" t="s">
        <v>19</v>
      </c>
      <c r="G17" s="8"/>
      <c r="H17" s="9" t="s">
        <v>47</v>
      </c>
      <c r="I17" s="9" t="s">
        <v>16</v>
      </c>
      <c r="J17" s="38" t="s">
        <v>17</v>
      </c>
      <c r="K17" s="33"/>
    </row>
    <row r="18" spans="1:11" x14ac:dyDescent="0.25">
      <c r="A18" s="6">
        <v>46044</v>
      </c>
      <c r="B18" s="7">
        <v>3065844</v>
      </c>
      <c r="C18" s="7" t="s">
        <v>12</v>
      </c>
      <c r="D18" s="7">
        <v>1014479681</v>
      </c>
      <c r="E18" s="7" t="s">
        <v>48</v>
      </c>
      <c r="F18" s="7" t="s">
        <v>14</v>
      </c>
      <c r="G18" s="8"/>
      <c r="H18" s="9" t="s">
        <v>49</v>
      </c>
      <c r="I18" s="9" t="s">
        <v>16</v>
      </c>
      <c r="J18" s="38" t="s">
        <v>17</v>
      </c>
      <c r="K18" s="33"/>
    </row>
    <row r="19" spans="1:11" x14ac:dyDescent="0.25">
      <c r="A19" s="6">
        <v>46044</v>
      </c>
      <c r="B19" s="7">
        <v>3287439</v>
      </c>
      <c r="C19" s="7" t="s">
        <v>12</v>
      </c>
      <c r="D19" s="7">
        <v>1025062353</v>
      </c>
      <c r="E19" s="7" t="s">
        <v>50</v>
      </c>
      <c r="F19" s="7" t="s">
        <v>38</v>
      </c>
      <c r="G19" s="8"/>
      <c r="H19" s="9" t="s">
        <v>51</v>
      </c>
      <c r="I19" s="9" t="s">
        <v>16</v>
      </c>
      <c r="J19" s="38" t="s">
        <v>17</v>
      </c>
      <c r="K19" s="33"/>
    </row>
    <row r="20" spans="1:11" x14ac:dyDescent="0.25">
      <c r="A20" s="6">
        <v>46044</v>
      </c>
      <c r="B20" s="7">
        <v>3070340</v>
      </c>
      <c r="C20" s="7" t="s">
        <v>12</v>
      </c>
      <c r="D20" s="7">
        <v>1032359851</v>
      </c>
      <c r="E20" s="7" t="s">
        <v>52</v>
      </c>
      <c r="F20" s="7" t="s">
        <v>19</v>
      </c>
      <c r="G20" s="8"/>
      <c r="H20" s="9" t="s">
        <v>53</v>
      </c>
      <c r="I20" s="9" t="s">
        <v>16</v>
      </c>
      <c r="J20" s="38" t="s">
        <v>17</v>
      </c>
      <c r="K20" s="33"/>
    </row>
    <row r="21" spans="1:11" x14ac:dyDescent="0.25">
      <c r="A21" s="6">
        <v>46044</v>
      </c>
      <c r="B21" s="7">
        <v>3236103</v>
      </c>
      <c r="C21" s="7" t="s">
        <v>12</v>
      </c>
      <c r="D21" s="7">
        <v>1033722600</v>
      </c>
      <c r="E21" s="7" t="s">
        <v>54</v>
      </c>
      <c r="F21" s="7" t="s">
        <v>24</v>
      </c>
      <c r="G21" s="8"/>
      <c r="H21" s="9" t="s">
        <v>55</v>
      </c>
      <c r="I21" s="9" t="s">
        <v>16</v>
      </c>
      <c r="J21" s="38" t="s">
        <v>17</v>
      </c>
      <c r="K21" s="33"/>
    </row>
    <row r="22" spans="1:11" x14ac:dyDescent="0.25">
      <c r="A22" s="6">
        <v>46044</v>
      </c>
      <c r="B22" s="7">
        <v>3186285</v>
      </c>
      <c r="C22" s="7" t="s">
        <v>12</v>
      </c>
      <c r="D22" s="7">
        <v>1143379907</v>
      </c>
      <c r="E22" s="11" t="s">
        <v>56</v>
      </c>
      <c r="F22" s="7" t="s">
        <v>24</v>
      </c>
      <c r="G22" s="8"/>
      <c r="H22" s="9" t="s">
        <v>25</v>
      </c>
      <c r="I22" s="9" t="s">
        <v>16</v>
      </c>
      <c r="J22" s="38" t="s">
        <v>17</v>
      </c>
      <c r="K22" s="33"/>
    </row>
    <row r="23" spans="1:11" x14ac:dyDescent="0.25">
      <c r="A23" s="6">
        <v>46044</v>
      </c>
      <c r="B23" s="7">
        <v>3235891</v>
      </c>
      <c r="C23" s="7" t="s">
        <v>12</v>
      </c>
      <c r="D23" s="7">
        <v>1007694675</v>
      </c>
      <c r="E23" s="7" t="s">
        <v>57</v>
      </c>
      <c r="F23" s="7" t="s">
        <v>14</v>
      </c>
      <c r="G23" s="8"/>
      <c r="H23" s="9" t="s">
        <v>58</v>
      </c>
      <c r="I23" s="9" t="s">
        <v>16</v>
      </c>
      <c r="J23" s="38" t="s">
        <v>17</v>
      </c>
      <c r="K23" s="33"/>
    </row>
    <row r="24" spans="1:11" x14ac:dyDescent="0.25">
      <c r="A24" s="6">
        <v>46044</v>
      </c>
      <c r="B24" s="7">
        <v>3170184</v>
      </c>
      <c r="C24" s="7" t="s">
        <v>12</v>
      </c>
      <c r="D24" s="7">
        <v>1011085784</v>
      </c>
      <c r="E24" s="22" t="s">
        <v>59</v>
      </c>
      <c r="F24" s="7" t="s">
        <v>60</v>
      </c>
      <c r="G24" s="8"/>
      <c r="H24" s="9" t="s">
        <v>25</v>
      </c>
      <c r="I24" s="9" t="s">
        <v>16</v>
      </c>
      <c r="J24" s="38" t="s">
        <v>17</v>
      </c>
      <c r="K24" s="33"/>
    </row>
    <row r="25" spans="1:11" x14ac:dyDescent="0.25">
      <c r="A25" s="6">
        <v>46044</v>
      </c>
      <c r="B25" s="7">
        <v>3186282</v>
      </c>
      <c r="C25" s="7" t="s">
        <v>12</v>
      </c>
      <c r="D25" s="7">
        <v>40046420</v>
      </c>
      <c r="E25" s="11" t="s">
        <v>61</v>
      </c>
      <c r="F25" s="7" t="s">
        <v>24</v>
      </c>
      <c r="G25" s="8"/>
      <c r="H25" s="9" t="s">
        <v>25</v>
      </c>
      <c r="I25" s="9" t="s">
        <v>16</v>
      </c>
      <c r="J25" s="38" t="s">
        <v>17</v>
      </c>
      <c r="K25" s="33"/>
    </row>
    <row r="26" spans="1:11" x14ac:dyDescent="0.25">
      <c r="A26" s="6">
        <v>46044</v>
      </c>
      <c r="B26" s="7">
        <v>3134618</v>
      </c>
      <c r="C26" s="7" t="s">
        <v>12</v>
      </c>
      <c r="D26" s="7">
        <v>1031809125</v>
      </c>
      <c r="E26" s="7" t="s">
        <v>62</v>
      </c>
      <c r="F26" s="7" t="s">
        <v>40</v>
      </c>
      <c r="G26" s="8"/>
      <c r="H26" s="9" t="s">
        <v>63</v>
      </c>
      <c r="I26" s="9" t="s">
        <v>16</v>
      </c>
      <c r="J26" s="38" t="s">
        <v>17</v>
      </c>
      <c r="K26" s="33"/>
    </row>
    <row r="27" spans="1:11" x14ac:dyDescent="0.25">
      <c r="A27" s="16">
        <v>46044</v>
      </c>
      <c r="B27" s="12">
        <v>3186281</v>
      </c>
      <c r="C27" s="12" t="s">
        <v>12</v>
      </c>
      <c r="D27" s="12">
        <v>1098410057</v>
      </c>
      <c r="E27" s="23" t="s">
        <v>64</v>
      </c>
      <c r="F27" s="12" t="s">
        <v>24</v>
      </c>
      <c r="G27" s="8"/>
      <c r="H27" s="17" t="s">
        <v>25</v>
      </c>
      <c r="I27" s="17" t="s">
        <v>16</v>
      </c>
      <c r="J27" s="39" t="s">
        <v>17</v>
      </c>
      <c r="K27" s="33"/>
    </row>
    <row r="28" spans="1:11" x14ac:dyDescent="0.25">
      <c r="A28" s="18">
        <v>46044</v>
      </c>
      <c r="B28" s="19">
        <v>2879841</v>
      </c>
      <c r="C28" s="20" t="s">
        <v>12</v>
      </c>
      <c r="D28" s="21">
        <v>1036647783</v>
      </c>
      <c r="E28" s="24" t="s">
        <v>65</v>
      </c>
      <c r="F28" s="19" t="s">
        <v>19</v>
      </c>
      <c r="G28" s="8"/>
      <c r="H28" s="21" t="s">
        <v>25</v>
      </c>
      <c r="I28" s="17" t="s">
        <v>16</v>
      </c>
      <c r="J28" s="40" t="s">
        <v>17</v>
      </c>
      <c r="K28" s="33"/>
    </row>
    <row r="29" spans="1:11" x14ac:dyDescent="0.25">
      <c r="A29" s="27">
        <v>46044</v>
      </c>
      <c r="B29" s="19">
        <v>2977755</v>
      </c>
      <c r="C29" s="19" t="s">
        <v>12</v>
      </c>
      <c r="D29" s="19">
        <v>1065626390</v>
      </c>
      <c r="E29" s="19" t="s">
        <v>66</v>
      </c>
      <c r="F29" s="19" t="s">
        <v>19</v>
      </c>
      <c r="G29" s="8"/>
      <c r="H29" s="35" t="s">
        <v>67</v>
      </c>
      <c r="I29" s="21" t="s">
        <v>16</v>
      </c>
      <c r="J29" s="41" t="s">
        <v>17</v>
      </c>
      <c r="K29" s="33"/>
    </row>
    <row r="30" spans="1:11" x14ac:dyDescent="0.25">
      <c r="A30" s="27">
        <v>46044</v>
      </c>
      <c r="B30" s="28">
        <v>2977759</v>
      </c>
      <c r="C30" s="29" t="s">
        <v>12</v>
      </c>
      <c r="D30" s="28">
        <v>1124000096</v>
      </c>
      <c r="E30" s="28" t="s">
        <v>68</v>
      </c>
      <c r="F30" s="28" t="s">
        <v>19</v>
      </c>
      <c r="H30" s="33" t="s">
        <v>69</v>
      </c>
      <c r="I30" s="33" t="s">
        <v>70</v>
      </c>
      <c r="J30" s="42" t="s">
        <v>17</v>
      </c>
      <c r="K30" s="33"/>
    </row>
    <row r="31" spans="1:11" x14ac:dyDescent="0.25">
      <c r="A31" s="27">
        <v>46044</v>
      </c>
      <c r="B31" s="28">
        <v>2879843</v>
      </c>
      <c r="C31" s="29" t="s">
        <v>12</v>
      </c>
      <c r="D31" s="29">
        <v>52982445</v>
      </c>
      <c r="E31" s="37" t="s">
        <v>71</v>
      </c>
      <c r="F31" s="28" t="s">
        <v>19</v>
      </c>
      <c r="H31" s="33" t="s">
        <v>25</v>
      </c>
      <c r="I31" s="33" t="s">
        <v>70</v>
      </c>
      <c r="J31" s="42" t="s">
        <v>17</v>
      </c>
      <c r="K31" s="33"/>
    </row>
    <row r="32" spans="1:11" ht="15.75" x14ac:dyDescent="0.25">
      <c r="A32" s="31" t="s">
        <v>70</v>
      </c>
      <c r="B32" s="25">
        <v>3335839</v>
      </c>
      <c r="C32" s="26" t="s">
        <v>12</v>
      </c>
      <c r="D32" s="30">
        <v>1082774480</v>
      </c>
      <c r="E32" s="25" t="s">
        <v>72</v>
      </c>
      <c r="F32" s="25" t="s">
        <v>35</v>
      </c>
      <c r="H32" s="33" t="s">
        <v>73</v>
      </c>
      <c r="I32" s="33" t="s">
        <v>70</v>
      </c>
      <c r="J32" s="42" t="s">
        <v>17</v>
      </c>
      <c r="K32" s="33"/>
    </row>
    <row r="33" spans="1:11" ht="15.75" x14ac:dyDescent="0.25">
      <c r="A33" s="31" t="s">
        <v>70</v>
      </c>
      <c r="B33" s="25">
        <v>3186304</v>
      </c>
      <c r="C33" s="26" t="s">
        <v>12</v>
      </c>
      <c r="D33" s="30">
        <v>1073519402</v>
      </c>
      <c r="E33" s="45" t="s">
        <v>74</v>
      </c>
      <c r="F33" s="25" t="s">
        <v>38</v>
      </c>
      <c r="H33" s="33" t="s">
        <v>25</v>
      </c>
      <c r="I33" s="33" t="s">
        <v>70</v>
      </c>
      <c r="J33" s="42" t="s">
        <v>17</v>
      </c>
      <c r="K33" s="33"/>
    </row>
    <row r="34" spans="1:11" x14ac:dyDescent="0.25">
      <c r="A34" s="31" t="s">
        <v>70</v>
      </c>
      <c r="B34" s="26">
        <v>3186285</v>
      </c>
      <c r="C34" s="26" t="s">
        <v>12</v>
      </c>
      <c r="D34" s="31" t="s">
        <v>75</v>
      </c>
      <c r="E34" s="46" t="s">
        <v>76</v>
      </c>
      <c r="F34" s="34" t="s">
        <v>24</v>
      </c>
      <c r="H34" s="36" t="s">
        <v>25</v>
      </c>
      <c r="I34" s="33" t="s">
        <v>70</v>
      </c>
      <c r="J34" s="43" t="s">
        <v>17</v>
      </c>
      <c r="K34" s="33"/>
    </row>
    <row r="35" spans="1:11" x14ac:dyDescent="0.25">
      <c r="A35" s="50" t="s">
        <v>70</v>
      </c>
      <c r="B35" s="29">
        <v>3186282</v>
      </c>
      <c r="C35" s="29" t="s">
        <v>12</v>
      </c>
      <c r="D35" s="50" t="s">
        <v>77</v>
      </c>
      <c r="E35" s="29" t="s">
        <v>78</v>
      </c>
      <c r="F35" s="19" t="s">
        <v>24</v>
      </c>
      <c r="H35" s="33" t="s">
        <v>41</v>
      </c>
      <c r="I35" s="33" t="s">
        <v>70</v>
      </c>
      <c r="J35" s="42" t="s">
        <v>17</v>
      </c>
      <c r="K35" s="33"/>
    </row>
    <row r="36" spans="1:11" x14ac:dyDescent="0.25">
      <c r="A36" s="31" t="s">
        <v>70</v>
      </c>
      <c r="B36" s="26">
        <v>3186282</v>
      </c>
      <c r="C36" s="26" t="s">
        <v>12</v>
      </c>
      <c r="D36" s="31" t="s">
        <v>79</v>
      </c>
      <c r="E36" s="46" t="s">
        <v>80</v>
      </c>
      <c r="F36" s="34" t="s">
        <v>24</v>
      </c>
      <c r="H36" s="33" t="s">
        <v>25</v>
      </c>
      <c r="I36" s="33" t="s">
        <v>70</v>
      </c>
      <c r="J36" s="42" t="s">
        <v>17</v>
      </c>
      <c r="K36" s="33"/>
    </row>
    <row r="37" spans="1:11" x14ac:dyDescent="0.25">
      <c r="A37" s="49" t="s">
        <v>81</v>
      </c>
      <c r="B37" s="25">
        <v>3186284</v>
      </c>
      <c r="C37" s="26" t="s">
        <v>12</v>
      </c>
      <c r="D37" s="31" t="s">
        <v>82</v>
      </c>
      <c r="E37" s="26" t="s">
        <v>83</v>
      </c>
      <c r="F37" s="34" t="s">
        <v>24</v>
      </c>
    </row>
    <row r="38" spans="1:11" x14ac:dyDescent="0.25">
      <c r="A38" s="49" t="s">
        <v>81</v>
      </c>
      <c r="B38" s="48">
        <v>2977137</v>
      </c>
      <c r="C38" s="26" t="s">
        <v>12</v>
      </c>
      <c r="D38" s="47" t="s">
        <v>84</v>
      </c>
      <c r="E38" s="26" t="s">
        <v>85</v>
      </c>
      <c r="F38" s="26" t="s">
        <v>86</v>
      </c>
    </row>
    <row r="39" spans="1:11" x14ac:dyDescent="0.25">
      <c r="A39" s="26"/>
      <c r="B39" s="26"/>
      <c r="C39" s="26"/>
      <c r="D39" s="26"/>
      <c r="E39" s="26"/>
      <c r="F39" s="26"/>
    </row>
    <row r="40" spans="1:11" x14ac:dyDescent="0.25">
      <c r="A40" s="26"/>
      <c r="B40" s="26"/>
      <c r="C40" s="26"/>
      <c r="D40" s="26"/>
      <c r="E40" s="26"/>
      <c r="F40" s="26"/>
    </row>
    <row r="41" spans="1:11" x14ac:dyDescent="0.25">
      <c r="A41" s="26"/>
      <c r="B41" s="26"/>
      <c r="C41" s="26"/>
      <c r="D41" s="26"/>
      <c r="E41" s="26"/>
      <c r="F41" s="26"/>
    </row>
    <row r="42" spans="1:11" x14ac:dyDescent="0.25">
      <c r="A42" s="26"/>
      <c r="B42" s="26"/>
      <c r="C42" s="26"/>
      <c r="D42" s="26"/>
      <c r="E42" s="26"/>
      <c r="F42" s="26"/>
    </row>
    <row r="43" spans="1:11" x14ac:dyDescent="0.25">
      <c r="A43" s="26"/>
      <c r="B43" s="26"/>
      <c r="C43" s="26"/>
      <c r="D43" s="26"/>
      <c r="E43" s="26"/>
      <c r="F43" s="26"/>
    </row>
    <row r="44" spans="1:11" x14ac:dyDescent="0.25">
      <c r="A44" s="26"/>
      <c r="B44" s="26"/>
      <c r="C44" s="26"/>
      <c r="D44" s="26"/>
      <c r="E44" s="26"/>
      <c r="F44" s="26"/>
    </row>
    <row r="45" spans="1:11" x14ac:dyDescent="0.25">
      <c r="A45" s="26"/>
      <c r="B45" s="26"/>
      <c r="C45" s="26"/>
      <c r="D45" s="26"/>
      <c r="E45" s="26"/>
      <c r="F45" s="26"/>
    </row>
    <row r="46" spans="1:11" x14ac:dyDescent="0.25">
      <c r="A46" s="26"/>
      <c r="B46" s="26"/>
      <c r="C46" s="26"/>
      <c r="D46" s="26"/>
      <c r="E46" s="26"/>
      <c r="F46" s="26"/>
    </row>
    <row r="47" spans="1:11" x14ac:dyDescent="0.25">
      <c r="A47" s="26"/>
      <c r="B47" s="26"/>
      <c r="C47" s="26"/>
      <c r="D47" s="26"/>
      <c r="E47" s="26"/>
      <c r="F47" s="26"/>
    </row>
    <row r="48" spans="1:11" x14ac:dyDescent="0.25">
      <c r="A48" s="26"/>
      <c r="B48" s="26"/>
      <c r="C48" s="26"/>
      <c r="D48" s="26"/>
      <c r="E48" s="26"/>
      <c r="F48" s="26"/>
    </row>
    <row r="49" spans="1:6" x14ac:dyDescent="0.25">
      <c r="A49" s="26"/>
      <c r="B49" s="26"/>
      <c r="C49" s="26"/>
      <c r="D49" s="26"/>
      <c r="E49" s="26"/>
      <c r="F49" s="26"/>
    </row>
    <row r="50" spans="1:6" x14ac:dyDescent="0.25">
      <c r="A50" s="26"/>
      <c r="B50" s="26"/>
      <c r="C50" s="26"/>
      <c r="D50" s="26"/>
      <c r="E50" s="26"/>
      <c r="F50" s="26"/>
    </row>
    <row r="51" spans="1:6" x14ac:dyDescent="0.25">
      <c r="A51" s="32"/>
      <c r="B51" s="32"/>
      <c r="C51" s="32"/>
      <c r="D51" s="32"/>
      <c r="E51" s="32"/>
      <c r="F51" s="32"/>
    </row>
    <row r="52" spans="1:6" x14ac:dyDescent="0.25">
      <c r="A52" s="32"/>
      <c r="B52" s="32"/>
      <c r="C52" s="32"/>
      <c r="D52" s="32"/>
      <c r="E52" s="32"/>
      <c r="F52" s="32"/>
    </row>
    <row r="53" spans="1:6" x14ac:dyDescent="0.25">
      <c r="A53" s="32"/>
      <c r="B53" s="32"/>
      <c r="C53" s="32"/>
      <c r="D53" s="32"/>
      <c r="E53" s="32"/>
      <c r="F53" s="32"/>
    </row>
    <row r="54" spans="1:6" x14ac:dyDescent="0.25">
      <c r="A54" s="32"/>
      <c r="B54" s="32"/>
      <c r="C54" s="32"/>
      <c r="D54" s="32"/>
      <c r="E54" s="32"/>
      <c r="F54" s="32"/>
    </row>
  </sheetData>
  <mergeCells count="2">
    <mergeCell ref="A1:F1"/>
    <mergeCell ref="H1:K1"/>
  </mergeCells>
  <conditionalFormatting sqref="D31 D1:D28 D35:D37 D39:D1048576">
    <cfRule type="duplicateValues" dxfId="9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0DEE-C291-453D-8A09-FE013C72B782}">
  <dimension ref="B5:M8"/>
  <sheetViews>
    <sheetView workbookViewId="0">
      <selection activeCell="E20" sqref="E20"/>
    </sheetView>
  </sheetViews>
  <sheetFormatPr baseColWidth="10" defaultRowHeight="15" x14ac:dyDescent="0.25"/>
  <cols>
    <col min="2" max="2" width="6.85546875" customWidth="1"/>
    <col min="3" max="3" width="14.28515625" customWidth="1"/>
    <col min="4" max="4" width="26.7109375" customWidth="1"/>
    <col min="5" max="5" width="9.85546875" customWidth="1"/>
    <col min="6" max="6" width="14.140625" customWidth="1"/>
    <col min="7" max="7" width="11.28515625" customWidth="1"/>
    <col min="8" max="8" width="14.42578125" customWidth="1"/>
    <col min="9" max="9" width="13" customWidth="1"/>
    <col min="10" max="10" width="20.140625" customWidth="1"/>
    <col min="11" max="11" width="15.140625" customWidth="1"/>
    <col min="12" max="12" width="16.28515625" customWidth="1"/>
  </cols>
  <sheetData>
    <row r="5" spans="2:13" ht="15.75" thickBot="1" x14ac:dyDescent="0.3"/>
    <row r="6" spans="2:13" ht="15.75" x14ac:dyDescent="0.25">
      <c r="B6" s="137" t="s">
        <v>176</v>
      </c>
      <c r="C6" s="137" t="s">
        <v>177</v>
      </c>
      <c r="D6" s="137" t="s">
        <v>504</v>
      </c>
      <c r="E6" s="137" t="s">
        <v>178</v>
      </c>
      <c r="F6" s="137" t="s">
        <v>501</v>
      </c>
      <c r="G6" s="137" t="s">
        <v>179</v>
      </c>
      <c r="H6" s="137" t="s">
        <v>180</v>
      </c>
      <c r="I6" s="137" t="s">
        <v>181</v>
      </c>
      <c r="J6" s="137" t="s">
        <v>182</v>
      </c>
      <c r="K6" s="67" t="s">
        <v>183</v>
      </c>
      <c r="L6" s="67" t="s">
        <v>185</v>
      </c>
      <c r="M6" s="137" t="s">
        <v>187</v>
      </c>
    </row>
    <row r="7" spans="2:13" ht="32.25" thickBot="1" x14ac:dyDescent="0.3">
      <c r="B7" s="138"/>
      <c r="C7" s="138"/>
      <c r="D7" s="138"/>
      <c r="E7" s="138"/>
      <c r="F7" s="138"/>
      <c r="G7" s="138"/>
      <c r="H7" s="138"/>
      <c r="I7" s="138"/>
      <c r="J7" s="138"/>
      <c r="K7" s="68" t="s">
        <v>184</v>
      </c>
      <c r="L7" s="68" t="s">
        <v>186</v>
      </c>
      <c r="M7" s="138"/>
    </row>
    <row r="8" spans="2:13" ht="57.75" thickBot="1" x14ac:dyDescent="0.3">
      <c r="B8" s="100" t="s">
        <v>188</v>
      </c>
      <c r="C8" s="101">
        <v>1001187205</v>
      </c>
      <c r="D8" s="101" t="s">
        <v>502</v>
      </c>
      <c r="E8" s="101">
        <v>3118513</v>
      </c>
      <c r="F8" s="102">
        <v>45614</v>
      </c>
      <c r="G8" s="102">
        <v>46435</v>
      </c>
      <c r="H8" s="101" t="s">
        <v>138</v>
      </c>
      <c r="I8" s="101" t="s">
        <v>503</v>
      </c>
      <c r="J8" s="101" t="s">
        <v>99</v>
      </c>
      <c r="K8" s="69" t="s">
        <v>505</v>
      </c>
      <c r="L8" s="69" t="s">
        <v>506</v>
      </c>
      <c r="M8" s="69" t="s">
        <v>507</v>
      </c>
    </row>
  </sheetData>
  <mergeCells count="10">
    <mergeCell ref="H6:H7"/>
    <mergeCell ref="I6:I7"/>
    <mergeCell ref="J6:J7"/>
    <mergeCell ref="M6:M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4FD8-0429-4F09-B80E-53E2B4FA4F1F}">
  <dimension ref="B4:I49"/>
  <sheetViews>
    <sheetView tabSelected="1" zoomScale="85" zoomScaleNormal="85" workbookViewId="0">
      <selection activeCell="M9" sqref="M9"/>
    </sheetView>
  </sheetViews>
  <sheetFormatPr baseColWidth="10" defaultRowHeight="15" x14ac:dyDescent="0.25"/>
  <cols>
    <col min="2" max="2" width="14.7109375" customWidth="1"/>
    <col min="3" max="3" width="29.42578125" bestFit="1" customWidth="1"/>
    <col min="4" max="4" width="56.140625" customWidth="1"/>
    <col min="5" max="5" width="11.7109375" bestFit="1" customWidth="1"/>
    <col min="6" max="6" width="29" bestFit="1" customWidth="1"/>
    <col min="7" max="7" width="40" customWidth="1"/>
    <col min="8" max="8" width="5.5703125" customWidth="1"/>
  </cols>
  <sheetData>
    <row r="4" spans="2:9" x14ac:dyDescent="0.25">
      <c r="D4" s="57"/>
    </row>
    <row r="5" spans="2:9" ht="15.75" thickBot="1" x14ac:dyDescent="0.3">
      <c r="B5" s="58"/>
      <c r="C5" s="58"/>
      <c r="D5" s="58"/>
      <c r="E5" s="58"/>
    </row>
    <row r="6" spans="2:9" ht="16.5" thickTop="1" thickBot="1" x14ac:dyDescent="0.3">
      <c r="B6" s="58"/>
      <c r="C6" s="124" t="s">
        <v>3</v>
      </c>
      <c r="D6" s="126">
        <v>3070336</v>
      </c>
      <c r="E6" s="58"/>
      <c r="I6" s="70"/>
    </row>
    <row r="7" spans="2:9" ht="15.75" thickTop="1" x14ac:dyDescent="0.25">
      <c r="B7" s="58"/>
      <c r="C7" s="59"/>
      <c r="D7" s="59"/>
      <c r="E7" s="58"/>
    </row>
    <row r="8" spans="2:9" ht="15.75" thickBot="1" x14ac:dyDescent="0.3">
      <c r="B8" s="58"/>
      <c r="C8" s="59"/>
      <c r="D8" s="59"/>
      <c r="E8" s="58"/>
    </row>
    <row r="9" spans="2:9" ht="16.5" thickTop="1" thickBot="1" x14ac:dyDescent="0.3">
      <c r="B9" s="60"/>
      <c r="C9" s="125" t="s">
        <v>134</v>
      </c>
      <c r="D9" s="62" t="str">
        <f>VLOOKUP(D6,'PE04'!$A$2:$G$353,4,FALSE)</f>
        <v>16/09/2024</v>
      </c>
      <c r="E9" s="58"/>
    </row>
    <row r="10" spans="2:9" ht="16.5" thickTop="1" thickBot="1" x14ac:dyDescent="0.3">
      <c r="B10" s="60"/>
      <c r="C10" s="124" t="s">
        <v>136</v>
      </c>
      <c r="D10" s="63">
        <f>VLOOKUP(D6,'PE04'!$A$2:$G$353,5,FALSE)</f>
        <v>46188</v>
      </c>
      <c r="E10" s="58"/>
    </row>
    <row r="11" spans="2:9" ht="16.5" thickTop="1" thickBot="1" x14ac:dyDescent="0.3">
      <c r="B11" s="60"/>
      <c r="C11" s="124" t="s">
        <v>135</v>
      </c>
      <c r="D11" s="63" t="str">
        <f>VLOOKUP(D6,'PE04'!$A$2:$G$353,6,FALSE)</f>
        <v>15/12/2026</v>
      </c>
      <c r="E11" s="58"/>
    </row>
    <row r="12" spans="2:9" ht="16.5" thickTop="1" thickBot="1" x14ac:dyDescent="0.3">
      <c r="B12" s="60"/>
      <c r="C12" s="124" t="s">
        <v>137</v>
      </c>
      <c r="D12" s="64" t="str">
        <f>VLOOKUP(D6,'PE04'!$A$2:$G$353,7,FALSE)</f>
        <v>En ejecucion</v>
      </c>
      <c r="E12" s="58"/>
    </row>
    <row r="13" spans="2:9" ht="16.5" thickTop="1" thickBot="1" x14ac:dyDescent="0.3">
      <c r="B13" s="60"/>
      <c r="C13" s="124" t="s">
        <v>128</v>
      </c>
      <c r="D13" s="62" t="str">
        <f>VLOOKUP(D6,'PE04'!$A$2:$G$353,2,FALSE)</f>
        <v>TECNÓLOGO</v>
      </c>
      <c r="E13" s="58"/>
    </row>
    <row r="14" spans="2:9" ht="16.5" thickTop="1" thickBot="1" x14ac:dyDescent="0.3">
      <c r="B14" s="60"/>
      <c r="C14" s="124" t="s">
        <v>129</v>
      </c>
      <c r="D14" s="62" t="str">
        <f>VLOOKUP(D6,'PE04'!$A$2:$G$353,3,FALSE)</f>
        <v>COORDINACION DE PROCESOS LOGISTICOS</v>
      </c>
      <c r="E14" s="58"/>
    </row>
    <row r="15" spans="2:9" ht="16.5" thickTop="1" thickBot="1" x14ac:dyDescent="0.3">
      <c r="B15" s="58"/>
      <c r="C15" s="124" t="s">
        <v>133</v>
      </c>
      <c r="D15" s="65" t="str">
        <f ca="1">"Trimestre " &amp; MIN(8, INT(DATEDIF(D9, MIN(D11, TODAY()), "m") / 3) + 1)</f>
        <v>Trimestre 7</v>
      </c>
      <c r="E15" s="58"/>
    </row>
    <row r="16" spans="2:9" ht="16.5" thickTop="1" thickBot="1" x14ac:dyDescent="0.3">
      <c r="B16" s="58"/>
      <c r="C16" s="124" t="s">
        <v>189</v>
      </c>
      <c r="D16" s="65" t="str">
        <f>IF(VALUE(D9) &lt; DATE(2024, 11, 20), "ACUERDO 007", "ACUERDO 009")</f>
        <v>ACUERDO 007</v>
      </c>
      <c r="E16" s="58"/>
    </row>
    <row r="17" spans="2:8" ht="16.5" thickTop="1" thickBot="1" x14ac:dyDescent="0.3">
      <c r="B17" s="58"/>
      <c r="C17" s="124" t="s">
        <v>508</v>
      </c>
      <c r="D17" s="124" t="str" cm="1">
        <f t="array" aca="1" ref="D17" ca="1">_xlfn.IFS(
    DATEDIF(D9, TODAY(), "m") &lt; 1, "INDUCCION",
    DATEDIF(D9, TODAY(), "m") &lt;= 4, "ANALISIS",
    DATEDIF(D9, TODAY(), "m") &lt;= 9, "PLANEACION",
    DATEDIF(D9, TODAY(), "m") &lt;= 13, "EJECUCION",
    DATEDIF(D9, TODAY(), "m") &lt;= 18, "EVALUACION",
    TRUE, "NO ESTA EN LECTIVA"
)</f>
        <v>EVALUACION</v>
      </c>
      <c r="E17" s="58"/>
    </row>
    <row r="18" spans="2:8" ht="16.5" thickTop="1" thickBot="1" x14ac:dyDescent="0.3">
      <c r="B18" s="58"/>
      <c r="C18" s="58"/>
      <c r="D18" s="58"/>
      <c r="E18" s="58"/>
    </row>
    <row r="19" spans="2:8" ht="16.5" thickTop="1" thickBot="1" x14ac:dyDescent="0.3">
      <c r="B19" s="58"/>
      <c r="C19" s="124" t="s">
        <v>464</v>
      </c>
      <c r="D19" s="61" t="str">
        <f>VLOOKUP(D6,Hoja7!$1:$1048576,16,FALSE)</f>
        <v>MARIA PAOLA GIRALDO HERRERA</v>
      </c>
      <c r="E19" s="58"/>
    </row>
    <row r="20" spans="2:8" ht="16.5" thickTop="1" thickBot="1" x14ac:dyDescent="0.3">
      <c r="B20" s="58"/>
      <c r="C20" s="58"/>
      <c r="D20" s="58"/>
      <c r="E20" s="58"/>
      <c r="F20" s="58"/>
      <c r="G20" s="58"/>
      <c r="H20" s="58"/>
    </row>
    <row r="21" spans="2:8" ht="16.5" thickTop="1" thickBot="1" x14ac:dyDescent="0.3">
      <c r="B21" s="58"/>
      <c r="C21" s="124" t="s">
        <v>413</v>
      </c>
      <c r="D21" s="61" t="str">
        <f>VLOOKUP(D6,Hoja7!$1:$1048576,13,FALSE)</f>
        <v>OSCAR EDUARDO SARMIENTO SAAVEDRA</v>
      </c>
      <c r="E21" s="58"/>
      <c r="F21" s="58"/>
      <c r="G21" s="58"/>
      <c r="H21" s="58"/>
    </row>
    <row r="22" spans="2:8" ht="15.75" thickTop="1" x14ac:dyDescent="0.25">
      <c r="B22" s="58"/>
      <c r="C22" s="58"/>
      <c r="D22" s="58"/>
      <c r="E22" s="58"/>
      <c r="F22" s="58"/>
      <c r="G22" s="58"/>
      <c r="H22" s="58"/>
    </row>
    <row r="23" spans="2:8" ht="15.75" thickBot="1" x14ac:dyDescent="0.3">
      <c r="B23" s="58"/>
      <c r="C23" s="58"/>
      <c r="D23" s="58"/>
      <c r="E23" s="58"/>
      <c r="F23" s="58"/>
      <c r="G23" s="58"/>
      <c r="H23" s="58"/>
    </row>
    <row r="24" spans="2:8" ht="16.5" thickTop="1" thickBot="1" x14ac:dyDescent="0.3">
      <c r="B24" s="58"/>
      <c r="C24" s="128" t="s">
        <v>524</v>
      </c>
      <c r="D24" s="61" t="str" cm="1">
        <f t="array" ref="D24:D44">_xlfn.LET(
    _xlpm.datos, TRANSPOSE(_xlfn.XLOOKUP(D6,Hoja7!$A:$A,Hoja7!$S:$BO,"NO SE HA PROGRAMADO O ES ANTERIOR A LA BASE",0)),
    _xlfn._xlws.FILTER(_xlpm.datos, (_xlpm.datos&lt;&gt;"")*(_xlpm.datos&lt;&gt;0), "Sin datos programados")
)</f>
        <v>COM</v>
      </c>
      <c r="E24" s="58"/>
      <c r="F24" s="124" t="s">
        <v>559</v>
      </c>
      <c r="G24" s="61" t="str" cm="1">
        <f t="array" ref="G24">TRANSPOSE(_xlfn.XLOOKUP(D6,Hoja7!A:A,Hoja7!BS:BS,"NO TIENE PENDIENTES",0))</f>
        <v/>
      </c>
      <c r="H24" s="58"/>
    </row>
    <row r="25" spans="2:8" ht="16.5" thickTop="1" thickBot="1" x14ac:dyDescent="0.3">
      <c r="B25" s="58"/>
      <c r="C25" s="129"/>
      <c r="D25" s="61" t="str">
        <v>JORGE ARMANDO PIEDRAHITA CABRERA</v>
      </c>
      <c r="E25" s="58"/>
      <c r="F25" s="58"/>
      <c r="G25" s="58"/>
      <c r="H25" s="58"/>
    </row>
    <row r="26" spans="2:8" ht="16.5" thickTop="1" thickBot="1" x14ac:dyDescent="0.3">
      <c r="B26" s="58"/>
      <c r="C26" s="129"/>
      <c r="D26" s="61" t="str">
        <v>MAT</v>
      </c>
      <c r="E26" s="58"/>
    </row>
    <row r="27" spans="2:8" ht="16.5" thickTop="1" thickBot="1" x14ac:dyDescent="0.3">
      <c r="B27" s="58"/>
      <c r="C27" s="129"/>
      <c r="D27" s="61" t="str">
        <v>ELKIN DURAN MANCIPE</v>
      </c>
      <c r="E27" s="58"/>
    </row>
    <row r="28" spans="2:8" ht="16.5" thickTop="1" thickBot="1" x14ac:dyDescent="0.3">
      <c r="B28" s="58"/>
      <c r="C28" s="129"/>
      <c r="D28" s="61" t="str">
        <v>CIE</v>
      </c>
      <c r="E28" s="58"/>
    </row>
    <row r="29" spans="2:8" ht="16.5" thickTop="1" thickBot="1" x14ac:dyDescent="0.3">
      <c r="B29" s="58"/>
      <c r="C29" s="129"/>
      <c r="D29" s="61" t="str">
        <v>LAURA SOFIA PAEZ GALLO</v>
      </c>
      <c r="E29" s="58"/>
    </row>
    <row r="30" spans="2:8" ht="16.5" thickTop="1" thickBot="1" x14ac:dyDescent="0.3">
      <c r="B30" s="58"/>
      <c r="C30" s="129"/>
      <c r="D30" s="61" t="str">
        <v>TIC</v>
      </c>
      <c r="E30" s="58"/>
    </row>
    <row r="31" spans="2:8" ht="16.5" thickTop="1" thickBot="1" x14ac:dyDescent="0.3">
      <c r="B31" s="58"/>
      <c r="C31" s="129"/>
      <c r="D31" s="61" t="str">
        <v>ERICK RUIZ NOREÑA</v>
      </c>
      <c r="E31" s="58"/>
    </row>
    <row r="32" spans="2:8" ht="16.5" thickTop="1" thickBot="1" x14ac:dyDescent="0.3">
      <c r="B32" s="58"/>
      <c r="C32" s="129"/>
      <c r="D32" s="61" t="str">
        <v>INV</v>
      </c>
      <c r="E32" s="58"/>
    </row>
    <row r="33" spans="2:5" ht="16.5" thickTop="1" thickBot="1" x14ac:dyDescent="0.3">
      <c r="B33" s="58"/>
      <c r="C33" s="129"/>
      <c r="D33" s="61" t="str">
        <v>FRANCI PAOLA LOZANO PIRAQUIVE</v>
      </c>
      <c r="E33" s="58"/>
    </row>
    <row r="34" spans="2:5" ht="16.5" thickTop="1" thickBot="1" x14ac:dyDescent="0.3">
      <c r="B34" s="58"/>
      <c r="C34" s="129"/>
      <c r="D34" s="61" t="str">
        <v>DER</v>
      </c>
      <c r="E34" s="58"/>
    </row>
    <row r="35" spans="2:5" ht="16.5" thickTop="1" thickBot="1" x14ac:dyDescent="0.3">
      <c r="B35" s="58"/>
      <c r="C35" s="129"/>
      <c r="D35" s="61" t="str">
        <v>HECTOR ANDRES CIPAMOCHA CENTENO</v>
      </c>
      <c r="E35" s="58"/>
    </row>
    <row r="36" spans="2:5" ht="16.5" thickTop="1" thickBot="1" x14ac:dyDescent="0.3">
      <c r="B36" s="58"/>
      <c r="C36" s="129"/>
      <c r="D36" s="124" t="str">
        <v>ETI</v>
      </c>
      <c r="E36" s="58"/>
    </row>
    <row r="37" spans="2:5" ht="16.5" thickTop="1" thickBot="1" x14ac:dyDescent="0.3">
      <c r="B37" s="58"/>
      <c r="C37" s="129"/>
      <c r="D37" s="61" t="str">
        <v>OLGA STELLA PARDO SARAY</v>
      </c>
      <c r="E37" s="58"/>
    </row>
    <row r="38" spans="2:5" ht="16.5" thickTop="1" thickBot="1" x14ac:dyDescent="0.3">
      <c r="B38" s="58"/>
      <c r="C38" s="129"/>
      <c r="D38" s="124" t="str">
        <v>SST</v>
      </c>
      <c r="E38" s="58"/>
    </row>
    <row r="39" spans="2:5" ht="16.5" thickTop="1" thickBot="1" x14ac:dyDescent="0.3">
      <c r="B39" s="58"/>
      <c r="C39" s="129"/>
      <c r="D39" s="61" t="str">
        <v>MARINELLA DIAZ ACOSTA</v>
      </c>
      <c r="E39" s="58"/>
    </row>
    <row r="40" spans="2:5" ht="16.5" thickTop="1" thickBot="1" x14ac:dyDescent="0.3">
      <c r="B40" s="58"/>
      <c r="C40" s="129"/>
      <c r="D40" s="124" t="str">
        <v>EMP</v>
      </c>
      <c r="E40" s="58"/>
    </row>
    <row r="41" spans="2:5" ht="16.5" thickTop="1" thickBot="1" x14ac:dyDescent="0.3">
      <c r="B41" s="58"/>
      <c r="C41" s="129"/>
      <c r="D41" s="61" t="str">
        <v>ALBERTO ANTONIO TAPIA TORRES</v>
      </c>
      <c r="E41" s="58"/>
    </row>
    <row r="42" spans="2:5" ht="16.5" thickTop="1" thickBot="1" x14ac:dyDescent="0.3">
      <c r="B42" s="58"/>
      <c r="C42" s="129"/>
      <c r="D42" s="124" t="str">
        <v>CUL</v>
      </c>
      <c r="E42" s="58"/>
    </row>
    <row r="43" spans="2:5" ht="16.5" thickTop="1" thickBot="1" x14ac:dyDescent="0.3">
      <c r="B43" s="58"/>
      <c r="C43" s="129"/>
      <c r="D43" s="61" t="str">
        <v>CHRISTIAN CAMILO RODRIGUEZ SALAS</v>
      </c>
      <c r="E43" s="58"/>
    </row>
    <row r="44" spans="2:5" ht="16.5" thickTop="1" thickBot="1" x14ac:dyDescent="0.3">
      <c r="B44" s="58"/>
      <c r="C44" s="130"/>
      <c r="D44" s="61" t="str">
        <v>DAVID BAUTISTA ROMERO</v>
      </c>
      <c r="E44" s="58"/>
    </row>
    <row r="45" spans="2:5" ht="15.75" thickTop="1" x14ac:dyDescent="0.25">
      <c r="B45" s="58"/>
      <c r="C45" s="58"/>
      <c r="D45" s="58"/>
      <c r="E45" s="58"/>
    </row>
    <row r="46" spans="2:5" x14ac:dyDescent="0.25">
      <c r="B46" s="58"/>
      <c r="C46" s="58"/>
      <c r="D46" s="58"/>
      <c r="E46" s="58"/>
    </row>
    <row r="47" spans="2:5" x14ac:dyDescent="0.25">
      <c r="B47" s="58"/>
      <c r="C47" s="58"/>
      <c r="D47" s="58"/>
      <c r="E47" s="58"/>
    </row>
    <row r="48" spans="2:5" x14ac:dyDescent="0.25">
      <c r="B48" s="58"/>
      <c r="C48" s="58"/>
      <c r="D48" s="58"/>
      <c r="E48" s="58"/>
    </row>
    <row r="49" spans="2:5" x14ac:dyDescent="0.25">
      <c r="B49" s="58"/>
      <c r="C49" s="58"/>
      <c r="D49" s="58"/>
      <c r="E49" s="58"/>
    </row>
  </sheetData>
  <mergeCells count="1">
    <mergeCell ref="C24:C44"/>
  </mergeCells>
  <phoneticPr fontId="18" type="noConversion"/>
  <conditionalFormatting sqref="D12">
    <cfRule type="cellIs" dxfId="8" priority="33" operator="equal">
      <formula>"Terminada por fecha"</formula>
    </cfRule>
    <cfRule type="cellIs" dxfId="7" priority="34" operator="equal">
      <formula>"en ejecucion"</formula>
    </cfRule>
    <cfRule type="cellIs" dxfId="6" priority="35" operator="equal">
      <formula>"ejecucion"</formula>
    </cfRule>
  </conditionalFormatting>
  <conditionalFormatting sqref="D16">
    <cfRule type="cellIs" dxfId="5" priority="31" operator="equal">
      <formula>"ACUERDO 009"</formula>
    </cfRule>
    <cfRule type="cellIs" dxfId="4" priority="32" operator="equal">
      <formula>"ACUERDO 007"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30270E2A-063B-40BE-9221-7C9A22D0E2B9}">
            <xm:f>AND(D19&lt;&gt;"", COUNTIF(Hoja6!$A$21:$A$115, D19)=0)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1">
                    <color rgb="FFFF5757"/>
                  </stop>
                </gradientFill>
              </fill>
            </x14:dxf>
          </x14:cfRule>
          <x14:cfRule type="expression" priority="37" id="{DD111D78-DEBB-4B30-B5D9-930CD13429EB}">
            <xm:f>AND(D19&lt;&gt;"", COUNTIF(Hoja6!$A$21:$A$115, D19)&gt;0)</xm:f>
            <x14:dxf>
              <font>
                <b val="0"/>
                <i val="0"/>
                <color auto="1"/>
              </font>
              <numFmt numFmtId="30" formatCode="@"/>
              <fill>
                <gradientFill degree="45">
                  <stop position="0">
                    <color theme="0"/>
                  </stop>
                  <stop position="1">
                    <color rgb="FF00B050"/>
                  </stop>
                </gradientFill>
              </fill>
            </x14:dxf>
          </x14:cfRule>
          <xm:sqref>D19 D21 D25 D27 D29 D31 D33 D35 D37 D39 D41</xm:sqref>
        </x14:conditionalFormatting>
        <x14:conditionalFormatting xmlns:xm="http://schemas.microsoft.com/office/excel/2006/main">
          <x14:cfRule type="expression" priority="1" id="{0A98F358-F640-4A42-9529-A62D6A0C9222}">
            <xm:f>AND(D44&lt;&gt;"", COUNTIF(Hoja6!$A$21:$A$115, D44)=0)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1">
                    <color rgb="FFFF5757"/>
                  </stop>
                </gradientFill>
              </fill>
            </x14:dxf>
          </x14:cfRule>
          <x14:cfRule type="expression" priority="2" id="{EB194174-62D7-4890-AE6C-74EE11B4F969}">
            <xm:f>AND(D44&lt;&gt;"", COUNTIF(Hoja6!$A$21:$A$115, D44)&gt;0)</xm:f>
            <x14:dxf>
              <font>
                <b val="0"/>
                <i val="0"/>
                <color auto="1"/>
              </font>
              <numFmt numFmtId="30" formatCode="@"/>
              <fill>
                <gradientFill degree="45">
                  <stop position="0">
                    <color theme="0"/>
                  </stop>
                  <stop position="1">
                    <color rgb="FF00B050"/>
                  </stop>
                </gradientFill>
              </fill>
            </x14:dxf>
          </x14:cfRule>
          <xm:sqref>D44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4942-9CC1-46B3-A95D-E409A3EA05E9}">
  <dimension ref="A1:W115"/>
  <sheetViews>
    <sheetView zoomScale="85" zoomScaleNormal="85" workbookViewId="0">
      <selection activeCell="A21" sqref="A21"/>
    </sheetView>
  </sheetViews>
  <sheetFormatPr baseColWidth="10" defaultRowHeight="15" x14ac:dyDescent="0.25"/>
  <cols>
    <col min="1" max="1" width="52.7109375" bestFit="1" customWidth="1"/>
    <col min="23" max="23" width="34.85546875" bestFit="1" customWidth="1"/>
  </cols>
  <sheetData>
    <row r="1" spans="1:23" x14ac:dyDescent="0.25">
      <c r="A1" s="103" t="s">
        <v>129</v>
      </c>
      <c r="B1" s="103" t="s">
        <v>128</v>
      </c>
      <c r="C1" s="103" t="s">
        <v>509</v>
      </c>
      <c r="D1" s="103" t="s">
        <v>510</v>
      </c>
      <c r="E1" s="103" t="s">
        <v>522</v>
      </c>
      <c r="F1" s="139" t="s">
        <v>511</v>
      </c>
      <c r="G1" s="139"/>
      <c r="H1" s="139"/>
      <c r="I1" s="139" t="s">
        <v>512</v>
      </c>
      <c r="J1" s="139"/>
      <c r="K1" s="139"/>
      <c r="L1" s="139"/>
      <c r="M1" s="139"/>
      <c r="N1" s="139" t="s">
        <v>513</v>
      </c>
      <c r="O1" s="139"/>
      <c r="P1" s="139"/>
      <c r="Q1" s="139"/>
      <c r="R1" s="139" t="s">
        <v>514</v>
      </c>
      <c r="S1" s="139"/>
      <c r="T1" s="139"/>
      <c r="U1" s="139"/>
      <c r="V1" s="103"/>
      <c r="W1" s="103" t="s">
        <v>515</v>
      </c>
    </row>
    <row r="2" spans="1:23" x14ac:dyDescent="0.25">
      <c r="A2" s="104" t="s">
        <v>93</v>
      </c>
      <c r="B2" s="105" t="s">
        <v>125</v>
      </c>
      <c r="C2" s="105">
        <v>631101</v>
      </c>
      <c r="D2" s="105">
        <v>2</v>
      </c>
      <c r="E2" s="105"/>
      <c r="F2" s="106" t="s">
        <v>198</v>
      </c>
      <c r="G2" s="106" t="s">
        <v>200</v>
      </c>
      <c r="H2" s="106" t="s">
        <v>242</v>
      </c>
      <c r="I2" s="106" t="s">
        <v>202</v>
      </c>
      <c r="J2" s="106" t="s">
        <v>516</v>
      </c>
      <c r="K2" s="106" t="s">
        <v>196</v>
      </c>
      <c r="L2" s="105"/>
      <c r="M2" s="105"/>
      <c r="N2" s="106" t="s">
        <v>517</v>
      </c>
      <c r="O2" s="106" t="s">
        <v>209</v>
      </c>
      <c r="P2" s="105"/>
      <c r="Q2" s="105"/>
      <c r="R2" s="106" t="s">
        <v>208</v>
      </c>
      <c r="S2" s="105"/>
      <c r="T2" s="105"/>
      <c r="U2" s="105"/>
      <c r="V2" s="105">
        <f t="shared" ref="V2:V15" si="0">COUNTIF(F2:U2,"*")</f>
        <v>9</v>
      </c>
      <c r="W2" s="104" t="s">
        <v>360</v>
      </c>
    </row>
    <row r="3" spans="1:23" x14ac:dyDescent="0.25">
      <c r="A3" s="104" t="s">
        <v>518</v>
      </c>
      <c r="B3" s="105" t="s">
        <v>125</v>
      </c>
      <c r="C3" s="105">
        <v>133100</v>
      </c>
      <c r="D3" s="105">
        <v>2</v>
      </c>
      <c r="E3" s="105"/>
      <c r="F3" s="106" t="s">
        <v>209</v>
      </c>
      <c r="G3" s="106" t="s">
        <v>198</v>
      </c>
      <c r="H3" s="106" t="s">
        <v>200</v>
      </c>
      <c r="I3" s="107"/>
      <c r="J3" s="106" t="s">
        <v>196</v>
      </c>
      <c r="K3" s="106" t="s">
        <v>204</v>
      </c>
      <c r="L3" s="107"/>
      <c r="M3" s="107"/>
      <c r="N3" s="106" t="s">
        <v>208</v>
      </c>
      <c r="O3" s="106" t="s">
        <v>206</v>
      </c>
      <c r="P3" s="107"/>
      <c r="Q3" s="107"/>
      <c r="R3" s="106" t="s">
        <v>202</v>
      </c>
      <c r="S3" s="105"/>
      <c r="T3" s="107"/>
      <c r="U3" s="107"/>
      <c r="V3" s="105">
        <f t="shared" si="0"/>
        <v>8</v>
      </c>
      <c r="W3" s="104" t="s">
        <v>519</v>
      </c>
    </row>
    <row r="4" spans="1:23" x14ac:dyDescent="0.25">
      <c r="A4" s="104" t="s">
        <v>90</v>
      </c>
      <c r="B4" s="105" t="s">
        <v>125</v>
      </c>
      <c r="C4" s="105"/>
      <c r="D4" s="105"/>
      <c r="E4" s="105"/>
      <c r="F4" s="105" t="s">
        <v>200</v>
      </c>
      <c r="G4" s="105" t="s">
        <v>198</v>
      </c>
      <c r="H4" s="105" t="s">
        <v>196</v>
      </c>
      <c r="I4" s="105" t="s">
        <v>202</v>
      </c>
      <c r="J4" s="105" t="s">
        <v>204</v>
      </c>
      <c r="K4" s="105" t="s">
        <v>206</v>
      </c>
      <c r="L4" s="105"/>
      <c r="M4" s="105"/>
      <c r="N4" s="105" t="s">
        <v>209</v>
      </c>
      <c r="O4" s="105"/>
      <c r="P4" s="105"/>
      <c r="Q4" s="105"/>
      <c r="R4" s="105" t="s">
        <v>208</v>
      </c>
      <c r="S4" s="105"/>
      <c r="T4" s="105"/>
      <c r="U4" s="105"/>
      <c r="V4" s="105">
        <f t="shared" si="0"/>
        <v>8</v>
      </c>
      <c r="W4" s="104" t="s">
        <v>520</v>
      </c>
    </row>
    <row r="5" spans="1:23" x14ac:dyDescent="0.25">
      <c r="A5" s="108" t="s">
        <v>87</v>
      </c>
      <c r="B5" s="109" t="s">
        <v>125</v>
      </c>
      <c r="C5" s="109"/>
      <c r="D5" s="109"/>
      <c r="E5" s="109"/>
      <c r="F5" s="109" t="s">
        <v>198</v>
      </c>
      <c r="G5" s="109" t="s">
        <v>200</v>
      </c>
      <c r="H5" s="110" t="s">
        <v>194</v>
      </c>
      <c r="I5" s="109" t="s">
        <v>202</v>
      </c>
      <c r="J5" s="109" t="s">
        <v>204</v>
      </c>
      <c r="K5" s="109" t="s">
        <v>196</v>
      </c>
      <c r="L5" s="109"/>
      <c r="M5" s="109"/>
      <c r="N5" s="109" t="s">
        <v>206</v>
      </c>
      <c r="O5" s="109" t="s">
        <v>208</v>
      </c>
      <c r="P5" s="109"/>
      <c r="Q5" s="109"/>
      <c r="R5" s="109" t="s">
        <v>209</v>
      </c>
      <c r="S5" s="109"/>
      <c r="T5" s="109"/>
      <c r="U5" s="109"/>
      <c r="V5" s="109">
        <f t="shared" si="0"/>
        <v>9</v>
      </c>
      <c r="W5" s="108" t="s">
        <v>359</v>
      </c>
    </row>
    <row r="6" spans="1:23" x14ac:dyDescent="0.25">
      <c r="A6" s="104" t="s">
        <v>91</v>
      </c>
      <c r="B6" s="105" t="s">
        <v>125</v>
      </c>
      <c r="C6" s="105">
        <v>133303</v>
      </c>
      <c r="D6" s="105">
        <v>1</v>
      </c>
      <c r="E6" s="105"/>
      <c r="F6" s="106" t="s">
        <v>198</v>
      </c>
      <c r="G6" s="106" t="s">
        <v>200</v>
      </c>
      <c r="H6" s="106" t="s">
        <v>196</v>
      </c>
      <c r="I6" s="107"/>
      <c r="J6" s="106" t="s">
        <v>202</v>
      </c>
      <c r="K6" s="106"/>
      <c r="L6" s="106"/>
      <c r="M6" s="106"/>
      <c r="N6" s="106" t="s">
        <v>206</v>
      </c>
      <c r="O6" s="106" t="s">
        <v>209</v>
      </c>
      <c r="P6" s="106" t="s">
        <v>204</v>
      </c>
      <c r="Q6" s="106"/>
      <c r="R6" s="106" t="s">
        <v>208</v>
      </c>
      <c r="S6" s="106"/>
      <c r="T6" s="106"/>
      <c r="U6" s="107"/>
      <c r="V6" s="105">
        <f t="shared" si="0"/>
        <v>8</v>
      </c>
      <c r="W6" s="104" t="s">
        <v>224</v>
      </c>
    </row>
    <row r="7" spans="1:23" x14ac:dyDescent="0.25">
      <c r="A7" s="111" t="s">
        <v>92</v>
      </c>
      <c r="B7" s="105" t="s">
        <v>125</v>
      </c>
      <c r="C7" s="105"/>
      <c r="D7" s="105"/>
      <c r="E7" s="105"/>
      <c r="F7" s="105" t="s">
        <v>200</v>
      </c>
      <c r="G7" s="105" t="s">
        <v>206</v>
      </c>
      <c r="H7" s="105" t="s">
        <v>196</v>
      </c>
      <c r="I7" s="105" t="s">
        <v>204</v>
      </c>
      <c r="J7" s="105" t="s">
        <v>202</v>
      </c>
      <c r="K7" s="105" t="s">
        <v>208</v>
      </c>
      <c r="L7" s="105"/>
      <c r="M7" s="105"/>
      <c r="N7" s="105" t="s">
        <v>198</v>
      </c>
      <c r="O7" s="105"/>
      <c r="P7" s="105"/>
      <c r="Q7" s="105"/>
      <c r="R7" s="105" t="s">
        <v>209</v>
      </c>
      <c r="S7" s="105"/>
      <c r="T7" s="105"/>
      <c r="U7" s="105"/>
      <c r="V7" s="105">
        <f t="shared" si="0"/>
        <v>8</v>
      </c>
      <c r="W7" s="104" t="s">
        <v>321</v>
      </c>
    </row>
    <row r="8" spans="1:23" ht="20.25" customHeight="1" x14ac:dyDescent="0.25">
      <c r="A8" s="108" t="s">
        <v>271</v>
      </c>
      <c r="B8" s="109" t="s">
        <v>138</v>
      </c>
      <c r="C8" s="109">
        <v>228118</v>
      </c>
      <c r="D8" s="109">
        <v>1</v>
      </c>
      <c r="E8" s="109"/>
      <c r="F8" s="112" t="s">
        <v>200</v>
      </c>
      <c r="G8" s="112" t="s">
        <v>198</v>
      </c>
      <c r="H8" s="112"/>
      <c r="I8" s="112"/>
      <c r="J8" s="112" t="s">
        <v>196</v>
      </c>
      <c r="K8" s="112" t="s">
        <v>254</v>
      </c>
      <c r="L8" s="110" t="s">
        <v>194</v>
      </c>
      <c r="M8" s="112"/>
      <c r="N8" s="112" t="s">
        <v>209</v>
      </c>
      <c r="O8" s="112" t="s">
        <v>204</v>
      </c>
      <c r="P8" s="112" t="s">
        <v>206</v>
      </c>
      <c r="Q8" s="112" t="s">
        <v>202</v>
      </c>
      <c r="R8" s="112" t="s">
        <v>208</v>
      </c>
      <c r="S8" s="113"/>
      <c r="T8" s="113"/>
      <c r="U8" s="113"/>
      <c r="V8" s="109">
        <f t="shared" si="0"/>
        <v>10</v>
      </c>
      <c r="W8" s="108" t="s">
        <v>274</v>
      </c>
    </row>
    <row r="9" spans="1:23" x14ac:dyDescent="0.25">
      <c r="A9" s="104" t="s">
        <v>392</v>
      </c>
      <c r="B9" s="105" t="s">
        <v>138</v>
      </c>
      <c r="C9" s="105">
        <v>524703</v>
      </c>
      <c r="D9" s="105">
        <v>1</v>
      </c>
      <c r="E9" s="105"/>
      <c r="F9" s="106" t="s">
        <v>200</v>
      </c>
      <c r="G9" s="106" t="s">
        <v>242</v>
      </c>
      <c r="H9" s="106" t="s">
        <v>196</v>
      </c>
      <c r="I9" s="106" t="s">
        <v>198</v>
      </c>
      <c r="J9" s="106" t="s">
        <v>202</v>
      </c>
      <c r="K9" s="106" t="s">
        <v>206</v>
      </c>
      <c r="L9" s="105"/>
      <c r="M9" s="105"/>
      <c r="N9" s="106" t="s">
        <v>254</v>
      </c>
      <c r="O9" s="106" t="s">
        <v>204</v>
      </c>
      <c r="P9" s="105"/>
      <c r="Q9" s="105"/>
      <c r="R9" s="106" t="s">
        <v>209</v>
      </c>
      <c r="S9" s="106" t="s">
        <v>208</v>
      </c>
      <c r="T9" s="105"/>
      <c r="U9" s="105"/>
      <c r="V9" s="105">
        <f t="shared" si="0"/>
        <v>10</v>
      </c>
      <c r="W9" s="104" t="s">
        <v>394</v>
      </c>
    </row>
    <row r="10" spans="1:23" x14ac:dyDescent="0.25">
      <c r="A10" s="104" t="s">
        <v>141</v>
      </c>
      <c r="B10" s="105" t="s">
        <v>138</v>
      </c>
      <c r="C10" s="105">
        <v>513601</v>
      </c>
      <c r="D10" s="105">
        <v>3</v>
      </c>
      <c r="E10" s="105"/>
      <c r="F10" s="106" t="s">
        <v>198</v>
      </c>
      <c r="G10" s="106" t="s">
        <v>196</v>
      </c>
      <c r="H10" s="106" t="s">
        <v>200</v>
      </c>
      <c r="I10" s="106" t="s">
        <v>242</v>
      </c>
      <c r="J10" s="106" t="s">
        <v>254</v>
      </c>
      <c r="K10" s="105"/>
      <c r="L10" s="105"/>
      <c r="M10" s="105"/>
      <c r="N10" s="106" t="s">
        <v>204</v>
      </c>
      <c r="O10" s="106" t="s">
        <v>206</v>
      </c>
      <c r="P10" s="106" t="s">
        <v>202</v>
      </c>
      <c r="Q10" s="105"/>
      <c r="R10" s="106" t="s">
        <v>209</v>
      </c>
      <c r="S10" s="106" t="s">
        <v>208</v>
      </c>
      <c r="T10" s="105"/>
      <c r="U10" s="105"/>
      <c r="V10" s="105">
        <f t="shared" si="0"/>
        <v>10</v>
      </c>
      <c r="W10" s="104" t="s">
        <v>521</v>
      </c>
    </row>
    <row r="11" spans="1:23" x14ac:dyDescent="0.25">
      <c r="A11" s="104" t="s">
        <v>101</v>
      </c>
      <c r="B11" s="105" t="s">
        <v>138</v>
      </c>
      <c r="C11" s="105">
        <v>121523</v>
      </c>
      <c r="D11" s="105">
        <v>2</v>
      </c>
      <c r="E11" s="105" t="s">
        <v>523</v>
      </c>
      <c r="F11" s="106" t="s">
        <v>254</v>
      </c>
      <c r="G11" s="106" t="s">
        <v>196</v>
      </c>
      <c r="H11" s="106" t="s">
        <v>198</v>
      </c>
      <c r="I11" s="105"/>
      <c r="J11" s="106" t="s">
        <v>200</v>
      </c>
      <c r="K11" s="106" t="s">
        <v>242</v>
      </c>
      <c r="L11" s="106" t="s">
        <v>208</v>
      </c>
      <c r="M11" s="105"/>
      <c r="N11" s="106" t="s">
        <v>204</v>
      </c>
      <c r="O11" s="106" t="s">
        <v>206</v>
      </c>
      <c r="P11" s="105"/>
      <c r="Q11" s="107"/>
      <c r="R11" s="106" t="s">
        <v>209</v>
      </c>
      <c r="S11" s="106" t="s">
        <v>202</v>
      </c>
      <c r="T11" s="105"/>
      <c r="U11" s="105"/>
      <c r="V11" s="105">
        <f t="shared" si="0"/>
        <v>10</v>
      </c>
      <c r="W11" s="104" t="s">
        <v>397</v>
      </c>
    </row>
    <row r="12" spans="1:23" x14ac:dyDescent="0.25">
      <c r="A12" s="108" t="s">
        <v>99</v>
      </c>
      <c r="B12" s="109" t="s">
        <v>138</v>
      </c>
      <c r="C12" s="109">
        <v>522309</v>
      </c>
      <c r="D12" s="109">
        <v>1</v>
      </c>
      <c r="E12" s="109"/>
      <c r="F12" s="112" t="s">
        <v>198</v>
      </c>
      <c r="G12" s="112" t="s">
        <v>200</v>
      </c>
      <c r="H12" s="112" t="s">
        <v>196</v>
      </c>
      <c r="I12" s="112" t="s">
        <v>206</v>
      </c>
      <c r="J12" s="112" t="s">
        <v>209</v>
      </c>
      <c r="K12" s="112" t="s">
        <v>208</v>
      </c>
      <c r="L12" s="109"/>
      <c r="M12" s="112"/>
      <c r="N12" s="112" t="s">
        <v>254</v>
      </c>
      <c r="O12" s="110" t="s">
        <v>194</v>
      </c>
      <c r="P12" s="112" t="s">
        <v>202</v>
      </c>
      <c r="Q12" s="113"/>
      <c r="R12" s="112" t="s">
        <v>204</v>
      </c>
      <c r="S12" s="113"/>
      <c r="T12" s="113"/>
      <c r="U12" s="113"/>
      <c r="V12" s="109">
        <f t="shared" si="0"/>
        <v>10</v>
      </c>
      <c r="W12" s="108" t="s">
        <v>398</v>
      </c>
    </row>
    <row r="13" spans="1:23" x14ac:dyDescent="0.25">
      <c r="A13" s="108" t="s">
        <v>96</v>
      </c>
      <c r="B13" s="109" t="s">
        <v>138</v>
      </c>
      <c r="C13" s="109">
        <v>217320</v>
      </c>
      <c r="D13" s="109">
        <v>1</v>
      </c>
      <c r="E13" s="109"/>
      <c r="F13" s="112" t="s">
        <v>200</v>
      </c>
      <c r="G13" s="112" t="s">
        <v>196</v>
      </c>
      <c r="H13" s="112" t="s">
        <v>198</v>
      </c>
      <c r="I13" s="112" t="s">
        <v>254</v>
      </c>
      <c r="J13" s="110" t="s">
        <v>194</v>
      </c>
      <c r="K13" s="112" t="s">
        <v>202</v>
      </c>
      <c r="L13" s="112" t="s">
        <v>204</v>
      </c>
      <c r="M13" s="109"/>
      <c r="N13" s="112" t="s">
        <v>206</v>
      </c>
      <c r="O13" s="109"/>
      <c r="P13" s="109"/>
      <c r="Q13" s="109"/>
      <c r="R13" s="112" t="s">
        <v>209</v>
      </c>
      <c r="S13" s="112" t="s">
        <v>208</v>
      </c>
      <c r="T13" s="109"/>
      <c r="U13" s="109"/>
      <c r="V13" s="109">
        <f t="shared" si="0"/>
        <v>10</v>
      </c>
      <c r="W13" s="108" t="s">
        <v>248</v>
      </c>
    </row>
    <row r="14" spans="1:23" x14ac:dyDescent="0.25">
      <c r="A14" s="104" t="s">
        <v>100</v>
      </c>
      <c r="B14" s="105" t="s">
        <v>138</v>
      </c>
      <c r="C14" s="105">
        <v>124100</v>
      </c>
      <c r="D14" s="105">
        <v>1</v>
      </c>
      <c r="E14" s="105"/>
      <c r="F14" s="106" t="s">
        <v>198</v>
      </c>
      <c r="G14" s="106" t="s">
        <v>204</v>
      </c>
      <c r="H14" s="107"/>
      <c r="I14" s="106" t="s">
        <v>196</v>
      </c>
      <c r="J14" s="106" t="s">
        <v>209</v>
      </c>
      <c r="K14" s="106" t="s">
        <v>254</v>
      </c>
      <c r="L14" s="105"/>
      <c r="M14" s="106"/>
      <c r="N14" s="106" t="s">
        <v>200</v>
      </c>
      <c r="O14" s="106" t="s">
        <v>206</v>
      </c>
      <c r="P14" s="107"/>
      <c r="Q14" s="107"/>
      <c r="R14" s="106" t="s">
        <v>202</v>
      </c>
      <c r="S14" s="106" t="s">
        <v>242</v>
      </c>
      <c r="T14" s="106" t="s">
        <v>208</v>
      </c>
      <c r="U14" s="107"/>
      <c r="V14" s="105">
        <f t="shared" si="0"/>
        <v>10</v>
      </c>
      <c r="W14" s="104" t="s">
        <v>293</v>
      </c>
    </row>
    <row r="15" spans="1:23" x14ac:dyDescent="0.25">
      <c r="A15" s="104" t="s">
        <v>123</v>
      </c>
      <c r="B15" s="105" t="s">
        <v>138</v>
      </c>
      <c r="C15" s="105">
        <v>123101</v>
      </c>
      <c r="D15" s="105">
        <v>1</v>
      </c>
      <c r="E15" s="105"/>
      <c r="F15" s="105" t="s">
        <v>198</v>
      </c>
      <c r="G15" s="105" t="s">
        <v>196</v>
      </c>
      <c r="H15" s="105" t="s">
        <v>200</v>
      </c>
      <c r="I15" s="105" t="s">
        <v>204</v>
      </c>
      <c r="J15" s="105" t="s">
        <v>208</v>
      </c>
      <c r="K15" s="105"/>
      <c r="L15" s="105"/>
      <c r="M15" s="105"/>
      <c r="N15" s="105" t="s">
        <v>202</v>
      </c>
      <c r="O15" s="105" t="s">
        <v>209</v>
      </c>
      <c r="P15" s="105" t="s">
        <v>254</v>
      </c>
      <c r="Q15" s="105"/>
      <c r="R15" s="105" t="s">
        <v>206</v>
      </c>
      <c r="S15" s="105"/>
      <c r="T15" s="105"/>
      <c r="U15" s="105"/>
      <c r="V15" s="105">
        <f t="shared" si="0"/>
        <v>9</v>
      </c>
      <c r="W15" s="105" t="s">
        <v>401</v>
      </c>
    </row>
    <row r="21" spans="1:1" x14ac:dyDescent="0.25">
      <c r="A21" s="127" t="s">
        <v>228</v>
      </c>
    </row>
    <row r="22" spans="1:1" x14ac:dyDescent="0.25">
      <c r="A22" s="127" t="s">
        <v>367</v>
      </c>
    </row>
    <row r="23" spans="1:1" x14ac:dyDescent="0.25">
      <c r="A23" s="127" t="s">
        <v>279</v>
      </c>
    </row>
    <row r="24" spans="1:1" x14ac:dyDescent="0.25">
      <c r="A24" s="127" t="s">
        <v>284</v>
      </c>
    </row>
    <row r="25" spans="1:1" x14ac:dyDescent="0.25">
      <c r="A25" s="127" t="s">
        <v>253</v>
      </c>
    </row>
    <row r="26" spans="1:1" x14ac:dyDescent="0.25">
      <c r="A26" s="127" t="s">
        <v>328</v>
      </c>
    </row>
    <row r="27" spans="1:1" x14ac:dyDescent="0.25">
      <c r="A27" s="97" t="s">
        <v>561</v>
      </c>
    </row>
    <row r="28" spans="1:1" x14ac:dyDescent="0.25">
      <c r="A28" s="97" t="s">
        <v>219</v>
      </c>
    </row>
    <row r="29" spans="1:1" x14ac:dyDescent="0.25">
      <c r="A29" s="97" t="s">
        <v>562</v>
      </c>
    </row>
    <row r="30" spans="1:1" x14ac:dyDescent="0.25">
      <c r="A30" s="97" t="s">
        <v>216</v>
      </c>
    </row>
    <row r="31" spans="1:1" x14ac:dyDescent="0.25">
      <c r="A31" s="97" t="s">
        <v>255</v>
      </c>
    </row>
    <row r="32" spans="1:1" x14ac:dyDescent="0.25">
      <c r="A32" s="97" t="s">
        <v>396</v>
      </c>
    </row>
    <row r="33" spans="1:1" x14ac:dyDescent="0.25">
      <c r="A33" s="97" t="s">
        <v>225</v>
      </c>
    </row>
    <row r="34" spans="1:1" x14ac:dyDescent="0.25">
      <c r="A34" s="97" t="s">
        <v>211</v>
      </c>
    </row>
    <row r="35" spans="1:1" x14ac:dyDescent="0.25">
      <c r="A35" s="97" t="s">
        <v>233</v>
      </c>
    </row>
    <row r="36" spans="1:1" x14ac:dyDescent="0.25">
      <c r="A36" s="97" t="s">
        <v>324</v>
      </c>
    </row>
    <row r="37" spans="1:1" x14ac:dyDescent="0.25">
      <c r="A37" s="97" t="s">
        <v>563</v>
      </c>
    </row>
    <row r="38" spans="1:1" x14ac:dyDescent="0.25">
      <c r="A38" s="97" t="s">
        <v>227</v>
      </c>
    </row>
    <row r="39" spans="1:1" x14ac:dyDescent="0.25">
      <c r="A39" s="97" t="s">
        <v>547</v>
      </c>
    </row>
    <row r="40" spans="1:1" x14ac:dyDescent="0.25">
      <c r="A40" s="97" t="s">
        <v>303</v>
      </c>
    </row>
    <row r="41" spans="1:1" x14ac:dyDescent="0.25">
      <c r="A41" s="97" t="s">
        <v>381</v>
      </c>
    </row>
    <row r="42" spans="1:1" x14ac:dyDescent="0.25">
      <c r="A42" s="97" t="s">
        <v>273</v>
      </c>
    </row>
    <row r="43" spans="1:1" x14ac:dyDescent="0.25">
      <c r="A43" s="97" t="s">
        <v>283</v>
      </c>
    </row>
    <row r="44" spans="1:1" x14ac:dyDescent="0.25">
      <c r="A44" s="97" t="s">
        <v>220</v>
      </c>
    </row>
    <row r="45" spans="1:1" x14ac:dyDescent="0.25">
      <c r="A45" s="97" t="s">
        <v>199</v>
      </c>
    </row>
    <row r="46" spans="1:1" x14ac:dyDescent="0.25">
      <c r="A46" s="97" t="s">
        <v>236</v>
      </c>
    </row>
    <row r="47" spans="1:1" x14ac:dyDescent="0.25">
      <c r="A47" s="97" t="s">
        <v>387</v>
      </c>
    </row>
    <row r="48" spans="1:1" x14ac:dyDescent="0.25">
      <c r="A48" s="97" t="s">
        <v>564</v>
      </c>
    </row>
    <row r="49" spans="1:1" x14ac:dyDescent="0.25">
      <c r="A49" s="97" t="s">
        <v>276</v>
      </c>
    </row>
    <row r="50" spans="1:1" x14ac:dyDescent="0.25">
      <c r="A50" s="97" t="s">
        <v>334</v>
      </c>
    </row>
    <row r="51" spans="1:1" x14ac:dyDescent="0.25">
      <c r="A51" s="97" t="s">
        <v>230</v>
      </c>
    </row>
    <row r="52" spans="1:1" x14ac:dyDescent="0.25">
      <c r="A52" s="97" t="s">
        <v>362</v>
      </c>
    </row>
    <row r="53" spans="1:1" x14ac:dyDescent="0.25">
      <c r="A53" s="97" t="s">
        <v>471</v>
      </c>
    </row>
    <row r="54" spans="1:1" x14ac:dyDescent="0.25">
      <c r="A54" s="97" t="s">
        <v>261</v>
      </c>
    </row>
    <row r="55" spans="1:1" x14ac:dyDescent="0.25">
      <c r="A55" s="97" t="s">
        <v>235</v>
      </c>
    </row>
    <row r="56" spans="1:1" x14ac:dyDescent="0.25">
      <c r="A56" s="97" t="s">
        <v>246</v>
      </c>
    </row>
    <row r="57" spans="1:1" x14ac:dyDescent="0.25">
      <c r="A57" s="97" t="s">
        <v>217</v>
      </c>
    </row>
    <row r="58" spans="1:1" x14ac:dyDescent="0.25">
      <c r="A58" s="97" t="s">
        <v>389</v>
      </c>
    </row>
    <row r="59" spans="1:1" x14ac:dyDescent="0.25">
      <c r="A59" s="97" t="s">
        <v>565</v>
      </c>
    </row>
    <row r="60" spans="1:1" x14ac:dyDescent="0.25">
      <c r="A60" s="97" t="s">
        <v>474</v>
      </c>
    </row>
    <row r="61" spans="1:1" x14ac:dyDescent="0.25">
      <c r="A61" s="97" t="s">
        <v>377</v>
      </c>
    </row>
    <row r="62" spans="1:1" x14ac:dyDescent="0.25">
      <c r="A62" s="97" t="s">
        <v>380</v>
      </c>
    </row>
    <row r="63" spans="1:1" x14ac:dyDescent="0.25">
      <c r="A63" s="97" t="s">
        <v>267</v>
      </c>
    </row>
    <row r="64" spans="1:1" x14ac:dyDescent="0.25">
      <c r="A64" s="97" t="s">
        <v>566</v>
      </c>
    </row>
    <row r="65" spans="1:1" x14ac:dyDescent="0.25">
      <c r="A65" s="97" t="s">
        <v>207</v>
      </c>
    </row>
    <row r="66" spans="1:1" x14ac:dyDescent="0.25">
      <c r="A66" s="97" t="s">
        <v>302</v>
      </c>
    </row>
    <row r="67" spans="1:1" x14ac:dyDescent="0.25">
      <c r="A67" s="97" t="s">
        <v>296</v>
      </c>
    </row>
    <row r="68" spans="1:1" x14ac:dyDescent="0.25">
      <c r="A68" s="97" t="s">
        <v>285</v>
      </c>
    </row>
    <row r="69" spans="1:1" x14ac:dyDescent="0.25">
      <c r="A69" s="97" t="s">
        <v>192</v>
      </c>
    </row>
    <row r="70" spans="1:1" x14ac:dyDescent="0.25">
      <c r="A70" s="97" t="s">
        <v>201</v>
      </c>
    </row>
    <row r="71" spans="1:1" x14ac:dyDescent="0.25">
      <c r="A71" s="97" t="s">
        <v>577</v>
      </c>
    </row>
    <row r="72" spans="1:1" x14ac:dyDescent="0.25">
      <c r="A72" s="97" t="s">
        <v>191</v>
      </c>
    </row>
    <row r="73" spans="1:1" x14ac:dyDescent="0.25">
      <c r="A73" s="97" t="s">
        <v>222</v>
      </c>
    </row>
    <row r="74" spans="1:1" x14ac:dyDescent="0.25">
      <c r="A74" s="97" t="s">
        <v>243</v>
      </c>
    </row>
    <row r="75" spans="1:1" x14ac:dyDescent="0.25">
      <c r="A75" s="97" t="s">
        <v>567</v>
      </c>
    </row>
    <row r="76" spans="1:1" x14ac:dyDescent="0.25">
      <c r="A76" s="97" t="s">
        <v>268</v>
      </c>
    </row>
    <row r="77" spans="1:1" x14ac:dyDescent="0.25">
      <c r="A77" s="97" t="s">
        <v>402</v>
      </c>
    </row>
    <row r="78" spans="1:1" x14ac:dyDescent="0.25">
      <c r="A78" s="80" t="s">
        <v>578</v>
      </c>
    </row>
    <row r="79" spans="1:1" x14ac:dyDescent="0.25">
      <c r="A79" s="97" t="s">
        <v>498</v>
      </c>
    </row>
    <row r="80" spans="1:1" x14ac:dyDescent="0.25">
      <c r="A80" s="97" t="s">
        <v>270</v>
      </c>
    </row>
    <row r="81" spans="1:1" x14ac:dyDescent="0.25">
      <c r="A81" s="97" t="s">
        <v>356</v>
      </c>
    </row>
    <row r="82" spans="1:1" x14ac:dyDescent="0.25">
      <c r="A82" s="97" t="s">
        <v>226</v>
      </c>
    </row>
    <row r="83" spans="1:1" x14ac:dyDescent="0.25">
      <c r="A83" s="97" t="s">
        <v>314</v>
      </c>
    </row>
    <row r="84" spans="1:1" x14ac:dyDescent="0.25">
      <c r="A84" s="97" t="s">
        <v>568</v>
      </c>
    </row>
    <row r="85" spans="1:1" x14ac:dyDescent="0.25">
      <c r="A85" s="97" t="s">
        <v>240</v>
      </c>
    </row>
    <row r="86" spans="1:1" x14ac:dyDescent="0.25">
      <c r="A86" s="97" t="s">
        <v>404</v>
      </c>
    </row>
    <row r="87" spans="1:1" x14ac:dyDescent="0.25">
      <c r="A87" s="97" t="s">
        <v>569</v>
      </c>
    </row>
    <row r="88" spans="1:1" x14ac:dyDescent="0.25">
      <c r="A88" s="97" t="s">
        <v>329</v>
      </c>
    </row>
    <row r="89" spans="1:1" x14ac:dyDescent="0.25">
      <c r="A89" s="97" t="s">
        <v>239</v>
      </c>
    </row>
    <row r="90" spans="1:1" x14ac:dyDescent="0.25">
      <c r="A90" s="97" t="s">
        <v>579</v>
      </c>
    </row>
    <row r="91" spans="1:1" x14ac:dyDescent="0.25">
      <c r="A91" s="97" t="s">
        <v>570</v>
      </c>
    </row>
    <row r="92" spans="1:1" x14ac:dyDescent="0.25">
      <c r="A92" s="97" t="s">
        <v>213</v>
      </c>
    </row>
    <row r="93" spans="1:1" x14ac:dyDescent="0.25">
      <c r="A93" s="97" t="s">
        <v>403</v>
      </c>
    </row>
    <row r="94" spans="1:1" x14ac:dyDescent="0.25">
      <c r="A94" s="97" t="s">
        <v>203</v>
      </c>
    </row>
    <row r="95" spans="1:1" x14ac:dyDescent="0.25">
      <c r="A95" s="97" t="s">
        <v>229</v>
      </c>
    </row>
    <row r="96" spans="1:1" x14ac:dyDescent="0.25">
      <c r="A96" s="81" t="s">
        <v>500</v>
      </c>
    </row>
    <row r="97" spans="1:1" x14ac:dyDescent="0.25">
      <c r="A97" s="97" t="s">
        <v>244</v>
      </c>
    </row>
    <row r="98" spans="1:1" x14ac:dyDescent="0.25">
      <c r="A98" s="97" t="s">
        <v>221</v>
      </c>
    </row>
    <row r="99" spans="1:1" x14ac:dyDescent="0.25">
      <c r="A99" s="97" t="s">
        <v>315</v>
      </c>
    </row>
    <row r="100" spans="1:1" x14ac:dyDescent="0.25">
      <c r="A100" s="97" t="s">
        <v>205</v>
      </c>
    </row>
    <row r="101" spans="1:1" x14ac:dyDescent="0.25">
      <c r="A101" s="81" t="s">
        <v>560</v>
      </c>
    </row>
    <row r="102" spans="1:1" x14ac:dyDescent="0.25">
      <c r="A102" s="81" t="s">
        <v>576</v>
      </c>
    </row>
    <row r="103" spans="1:1" x14ac:dyDescent="0.25">
      <c r="A103" s="97" t="s">
        <v>571</v>
      </c>
    </row>
    <row r="104" spans="1:1" x14ac:dyDescent="0.25">
      <c r="A104" s="97" t="s">
        <v>299</v>
      </c>
    </row>
    <row r="105" spans="1:1" x14ac:dyDescent="0.25">
      <c r="A105" s="97" t="s">
        <v>572</v>
      </c>
    </row>
    <row r="106" spans="1:1" x14ac:dyDescent="0.25">
      <c r="A106" s="97" t="s">
        <v>393</v>
      </c>
    </row>
    <row r="107" spans="1:1" x14ac:dyDescent="0.25">
      <c r="A107" s="97" t="s">
        <v>575</v>
      </c>
    </row>
    <row r="108" spans="1:1" x14ac:dyDescent="0.25">
      <c r="A108" s="97" t="s">
        <v>292</v>
      </c>
    </row>
    <row r="109" spans="1:1" x14ac:dyDescent="0.25">
      <c r="A109" s="97" t="s">
        <v>262</v>
      </c>
    </row>
    <row r="110" spans="1:1" x14ac:dyDescent="0.25">
      <c r="A110" s="97" t="s">
        <v>214</v>
      </c>
    </row>
    <row r="111" spans="1:1" x14ac:dyDescent="0.25">
      <c r="A111" s="97" t="s">
        <v>573</v>
      </c>
    </row>
    <row r="112" spans="1:1" x14ac:dyDescent="0.25">
      <c r="A112" s="97" t="s">
        <v>574</v>
      </c>
    </row>
    <row r="113" spans="1:1" x14ac:dyDescent="0.25">
      <c r="A113" s="97" t="s">
        <v>232</v>
      </c>
    </row>
    <row r="114" spans="1:1" x14ac:dyDescent="0.25">
      <c r="A114" s="97" t="s">
        <v>332</v>
      </c>
    </row>
    <row r="115" spans="1:1" x14ac:dyDescent="0.25">
      <c r="A115" s="81" t="s">
        <v>473</v>
      </c>
    </row>
  </sheetData>
  <autoFilter ref="A1:X15" xr:uid="{71864942-9CC1-46B3-A95D-E409A3EA05E9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</autoFilter>
  <mergeCells count="4">
    <mergeCell ref="F1:H1"/>
    <mergeCell ref="I1:M1"/>
    <mergeCell ref="N1:Q1"/>
    <mergeCell ref="R1:U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BB1B-9251-4419-B3FD-55334C61FA3A}">
  <dimension ref="A1:BX258"/>
  <sheetViews>
    <sheetView zoomScale="115" zoomScaleNormal="115" workbookViewId="0">
      <selection activeCell="AD41" sqref="AD41"/>
    </sheetView>
  </sheetViews>
  <sheetFormatPr baseColWidth="10" defaultColWidth="11.42578125" defaultRowHeight="13.5" x14ac:dyDescent="0.25"/>
  <cols>
    <col min="1" max="1" width="11" style="70" customWidth="1"/>
    <col min="2" max="2" width="13" style="71" customWidth="1"/>
    <col min="3" max="3" width="5.28515625" style="71" customWidth="1"/>
    <col min="4" max="4" width="12.42578125" style="72" customWidth="1"/>
    <col min="5" max="7" width="12.42578125" style="73" customWidth="1"/>
    <col min="8" max="8" width="12.42578125" style="81" hidden="1" customWidth="1"/>
    <col min="9" max="12" width="12.42578125" style="71" hidden="1" customWidth="1"/>
    <col min="13" max="13" width="12.42578125" style="82" customWidth="1"/>
    <col min="14" max="15" width="12.42578125" style="71" customWidth="1"/>
    <col min="16" max="16" width="34" style="71" customWidth="1"/>
    <col min="17" max="18" width="12.42578125" style="71" customWidth="1"/>
    <col min="19" max="20" width="12.42578125" style="75" customWidth="1"/>
    <col min="21" max="36" width="12.42578125" style="71" customWidth="1"/>
    <col min="37" max="55" width="12.42578125" style="75" customWidth="1"/>
    <col min="56" max="56" width="16.85546875" style="75" customWidth="1"/>
    <col min="57" max="57" width="10.5703125" style="75" customWidth="1"/>
    <col min="58" max="58" width="13.7109375" style="75" customWidth="1"/>
    <col min="59" max="59" width="11.85546875" style="75" customWidth="1"/>
    <col min="60" max="67" width="13.28515625" style="75" customWidth="1"/>
    <col min="68" max="70" width="42.7109375" style="75" hidden="1" customWidth="1"/>
    <col min="71" max="72" width="42.7109375" style="75" customWidth="1"/>
    <col min="73" max="73" width="9.42578125" style="71" customWidth="1"/>
    <col min="74" max="74" width="20.7109375" style="71" customWidth="1"/>
    <col min="75" max="75" width="11.42578125" style="81"/>
    <col min="76" max="76" width="17.85546875" style="81" customWidth="1"/>
    <col min="77" max="16384" width="11.42578125" style="81"/>
  </cols>
  <sheetData>
    <row r="1" spans="1:74" ht="13.5" customHeight="1" x14ac:dyDescent="0.25">
      <c r="A1" s="85">
        <v>1</v>
      </c>
      <c r="B1" s="86">
        <v>2</v>
      </c>
      <c r="C1" s="86"/>
      <c r="D1" s="85">
        <v>4</v>
      </c>
      <c r="E1" s="86">
        <v>5</v>
      </c>
      <c r="F1" s="86">
        <v>6</v>
      </c>
      <c r="G1" s="85">
        <v>7</v>
      </c>
      <c r="H1" s="86">
        <v>8</v>
      </c>
      <c r="I1" s="86">
        <v>9</v>
      </c>
      <c r="J1" s="85">
        <v>10</v>
      </c>
      <c r="K1" s="86">
        <v>11</v>
      </c>
      <c r="L1" s="86">
        <v>12</v>
      </c>
      <c r="M1" s="85">
        <v>13</v>
      </c>
      <c r="N1" s="86">
        <v>14</v>
      </c>
      <c r="O1" s="86">
        <v>15</v>
      </c>
      <c r="P1" s="86"/>
      <c r="Q1" s="85">
        <v>16</v>
      </c>
      <c r="R1" s="86">
        <v>17</v>
      </c>
      <c r="S1" s="86">
        <v>18</v>
      </c>
      <c r="T1" s="85">
        <v>19</v>
      </c>
      <c r="U1" s="86">
        <v>20</v>
      </c>
      <c r="V1" s="86">
        <v>21</v>
      </c>
      <c r="W1" s="85">
        <v>22</v>
      </c>
      <c r="X1" s="86">
        <v>23</v>
      </c>
      <c r="Y1" s="86">
        <v>24</v>
      </c>
      <c r="Z1" s="85">
        <v>25</v>
      </c>
      <c r="AA1" s="86">
        <v>26</v>
      </c>
      <c r="AB1" s="86">
        <v>27</v>
      </c>
      <c r="AC1" s="85">
        <v>28</v>
      </c>
      <c r="AD1" s="86">
        <v>29</v>
      </c>
      <c r="AE1" s="86">
        <v>30</v>
      </c>
      <c r="AF1" s="85">
        <v>31</v>
      </c>
      <c r="AG1" s="86">
        <v>32</v>
      </c>
      <c r="AH1" s="86">
        <v>33</v>
      </c>
      <c r="AI1" s="85">
        <v>34</v>
      </c>
      <c r="AJ1" s="86">
        <v>35</v>
      </c>
      <c r="AK1" s="86">
        <v>36</v>
      </c>
      <c r="AL1" s="85">
        <v>37</v>
      </c>
      <c r="AM1" s="86">
        <v>38</v>
      </c>
      <c r="AN1" s="86">
        <v>39</v>
      </c>
      <c r="AO1" s="85">
        <v>40</v>
      </c>
      <c r="AP1" s="86">
        <v>41</v>
      </c>
      <c r="AQ1" s="86">
        <v>42</v>
      </c>
      <c r="AR1" s="85">
        <v>43</v>
      </c>
      <c r="AS1" s="86">
        <v>44</v>
      </c>
      <c r="AT1" s="86">
        <v>45</v>
      </c>
      <c r="AU1" s="85">
        <v>46</v>
      </c>
      <c r="AV1" s="86">
        <v>47</v>
      </c>
      <c r="AW1" s="86">
        <v>48</v>
      </c>
      <c r="AX1" s="85">
        <v>49</v>
      </c>
      <c r="AY1" s="86">
        <v>50</v>
      </c>
      <c r="AZ1" s="86">
        <v>51</v>
      </c>
      <c r="BA1" s="85">
        <v>52</v>
      </c>
      <c r="BB1" s="86">
        <v>53</v>
      </c>
      <c r="BC1" s="86">
        <v>54</v>
      </c>
      <c r="BD1" s="85">
        <v>55</v>
      </c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6">
        <v>56</v>
      </c>
      <c r="BQ1" s="86"/>
      <c r="BR1" s="86"/>
      <c r="BS1" s="86"/>
      <c r="BT1" s="86"/>
      <c r="BU1" s="86">
        <v>57</v>
      </c>
      <c r="BV1" s="85">
        <v>58</v>
      </c>
    </row>
    <row r="2" spans="1:74" ht="60.75" customHeight="1" x14ac:dyDescent="0.25">
      <c r="A2" s="51" t="s">
        <v>3</v>
      </c>
      <c r="B2" s="52" t="s">
        <v>128</v>
      </c>
      <c r="C2" s="51" t="s">
        <v>407</v>
      </c>
      <c r="D2" s="53" t="s">
        <v>129</v>
      </c>
      <c r="E2" s="54" t="s">
        <v>130</v>
      </c>
      <c r="F2" s="87" t="s">
        <v>131</v>
      </c>
      <c r="G2" s="54" t="s">
        <v>132</v>
      </c>
      <c r="H2" s="52" t="s">
        <v>408</v>
      </c>
      <c r="I2" s="54" t="s">
        <v>409</v>
      </c>
      <c r="J2" s="52" t="s">
        <v>410</v>
      </c>
      <c r="K2" s="54" t="s">
        <v>411</v>
      </c>
      <c r="L2" s="52" t="s">
        <v>412</v>
      </c>
      <c r="M2" s="88" t="s">
        <v>413</v>
      </c>
      <c r="N2" s="51" t="s">
        <v>414</v>
      </c>
      <c r="O2" s="88" t="s">
        <v>415</v>
      </c>
      <c r="P2" s="88" t="s">
        <v>464</v>
      </c>
      <c r="Q2" s="52" t="s">
        <v>416</v>
      </c>
      <c r="R2" s="51" t="s">
        <v>417</v>
      </c>
      <c r="S2" s="90" t="s">
        <v>418</v>
      </c>
      <c r="T2" s="90" t="s">
        <v>419</v>
      </c>
      <c r="U2" s="91" t="s">
        <v>420</v>
      </c>
      <c r="V2" s="91" t="s">
        <v>421</v>
      </c>
      <c r="W2" s="90" t="s">
        <v>422</v>
      </c>
      <c r="X2" s="90" t="s">
        <v>423</v>
      </c>
      <c r="Y2" s="92" t="s">
        <v>424</v>
      </c>
      <c r="Z2" s="91" t="s">
        <v>425</v>
      </c>
      <c r="AA2" s="90" t="s">
        <v>426</v>
      </c>
      <c r="AB2" s="90" t="s">
        <v>427</v>
      </c>
      <c r="AC2" s="92" t="s">
        <v>428</v>
      </c>
      <c r="AD2" s="91" t="s">
        <v>429</v>
      </c>
      <c r="AE2" s="90" t="s">
        <v>430</v>
      </c>
      <c r="AF2" s="90" t="s">
        <v>431</v>
      </c>
      <c r="AG2" s="92" t="s">
        <v>432</v>
      </c>
      <c r="AH2" s="91" t="s">
        <v>433</v>
      </c>
      <c r="AI2" s="90" t="s">
        <v>434</v>
      </c>
      <c r="AJ2" s="90" t="s">
        <v>435</v>
      </c>
      <c r="AK2" s="92" t="s">
        <v>436</v>
      </c>
      <c r="AL2" s="91" t="s">
        <v>437</v>
      </c>
      <c r="AM2" s="90" t="s">
        <v>438</v>
      </c>
      <c r="AN2" s="90" t="s">
        <v>439</v>
      </c>
      <c r="AO2" s="92" t="s">
        <v>440</v>
      </c>
      <c r="AP2" s="91" t="s">
        <v>441</v>
      </c>
      <c r="AQ2" s="90" t="s">
        <v>442</v>
      </c>
      <c r="AR2" s="90" t="s">
        <v>443</v>
      </c>
      <c r="AS2" s="92" t="s">
        <v>444</v>
      </c>
      <c r="AT2" s="91" t="s">
        <v>445</v>
      </c>
      <c r="AU2" s="90" t="s">
        <v>446</v>
      </c>
      <c r="AV2" s="90" t="s">
        <v>447</v>
      </c>
      <c r="AW2" s="92" t="s">
        <v>448</v>
      </c>
      <c r="AX2" s="91" t="s">
        <v>449</v>
      </c>
      <c r="AY2" s="90" t="s">
        <v>450</v>
      </c>
      <c r="AZ2" s="90" t="s">
        <v>451</v>
      </c>
      <c r="BA2" s="92" t="s">
        <v>452</v>
      </c>
      <c r="BB2" s="91" t="s">
        <v>453</v>
      </c>
      <c r="BC2" s="90" t="s">
        <v>454</v>
      </c>
      <c r="BD2" s="90" t="s">
        <v>455</v>
      </c>
      <c r="BE2" s="92" t="s">
        <v>456</v>
      </c>
      <c r="BF2" s="90" t="s">
        <v>457</v>
      </c>
      <c r="BG2" s="92" t="s">
        <v>458</v>
      </c>
      <c r="BH2" s="90" t="s">
        <v>459</v>
      </c>
      <c r="BI2" s="92" t="s">
        <v>460</v>
      </c>
      <c r="BJ2" s="90" t="s">
        <v>461</v>
      </c>
      <c r="BK2" s="90" t="s">
        <v>525</v>
      </c>
      <c r="BL2" s="92" t="s">
        <v>526</v>
      </c>
      <c r="BM2" s="90" t="s">
        <v>527</v>
      </c>
      <c r="BN2" s="92" t="s">
        <v>528</v>
      </c>
      <c r="BO2" s="90" t="s">
        <v>529</v>
      </c>
      <c r="BP2" s="93" t="s">
        <v>462</v>
      </c>
      <c r="BQ2" s="93" t="s">
        <v>463</v>
      </c>
      <c r="BR2" s="93" t="s">
        <v>530</v>
      </c>
      <c r="BS2" s="93" t="s">
        <v>531</v>
      </c>
      <c r="BT2" s="93"/>
      <c r="BU2" s="114" t="s">
        <v>532</v>
      </c>
      <c r="BV2" s="114" t="s">
        <v>533</v>
      </c>
    </row>
    <row r="3" spans="1:74" ht="13.5" customHeight="1" x14ac:dyDescent="0.25">
      <c r="A3" s="70">
        <v>3186207</v>
      </c>
      <c r="B3" s="71" t="s">
        <v>190</v>
      </c>
      <c r="C3" s="71">
        <v>71</v>
      </c>
      <c r="D3" s="72" t="s">
        <v>87</v>
      </c>
      <c r="E3" s="73" t="s">
        <v>88</v>
      </c>
      <c r="F3" s="74">
        <v>46021</v>
      </c>
      <c r="G3" s="73" t="s">
        <v>89</v>
      </c>
      <c r="H3" s="73"/>
      <c r="K3" s="71" t="s">
        <v>191</v>
      </c>
      <c r="M3" s="70" t="s">
        <v>191</v>
      </c>
      <c r="O3" s="71" t="s">
        <v>192</v>
      </c>
      <c r="P3" s="72" t="s">
        <v>218</v>
      </c>
      <c r="Q3" s="73" t="s">
        <v>193</v>
      </c>
      <c r="U3" s="75"/>
      <c r="W3" s="75"/>
      <c r="Y3" s="75"/>
      <c r="AC3" s="75"/>
      <c r="AG3" s="71" t="s">
        <v>194</v>
      </c>
      <c r="AH3" s="76" t="s">
        <v>195</v>
      </c>
      <c r="AI3" s="71" t="s">
        <v>196</v>
      </c>
      <c r="AJ3" s="71" t="s">
        <v>267</v>
      </c>
      <c r="AK3" s="71" t="s">
        <v>198</v>
      </c>
      <c r="AL3" s="75" t="s">
        <v>199</v>
      </c>
      <c r="AM3" s="71" t="s">
        <v>200</v>
      </c>
      <c r="AN3" s="71" t="s">
        <v>201</v>
      </c>
      <c r="AO3" s="71" t="s">
        <v>202</v>
      </c>
      <c r="AP3" s="71" t="s">
        <v>203</v>
      </c>
      <c r="AQ3" s="71"/>
      <c r="AS3" s="71" t="s">
        <v>204</v>
      </c>
      <c r="AT3" s="75" t="s">
        <v>205</v>
      </c>
      <c r="AU3" s="75" t="s">
        <v>206</v>
      </c>
      <c r="AV3" s="75" t="s">
        <v>207</v>
      </c>
      <c r="AW3" s="75" t="s">
        <v>208</v>
      </c>
      <c r="AX3" s="75" t="str">
        <f t="shared" ref="AX3:AX34" si="0">IFERROR(VLOOKUP(A3,_p7_2025,2,FALSE),"")</f>
        <v>HECTOR ANDRES CIPAMOCHA CENTENO</v>
      </c>
      <c r="BA3" s="75" t="s">
        <v>209</v>
      </c>
      <c r="BB3" s="75" t="str">
        <f t="shared" ref="BB3:BB17" si="1">VLOOKUP(A3,_p8_2025,2,FALSE)</f>
        <v>ESTEFANIA SANDOVAL CRUZ</v>
      </c>
      <c r="BP3" s="71"/>
      <c r="BQ3" s="71"/>
      <c r="BR3" s="71"/>
      <c r="BS3" s="71"/>
      <c r="BT3" s="71"/>
      <c r="BU3" s="71">
        <v>32</v>
      </c>
      <c r="BV3" s="71" t="s">
        <v>534</v>
      </c>
    </row>
    <row r="4" spans="1:74" ht="13.5" customHeight="1" x14ac:dyDescent="0.25">
      <c r="A4" s="70">
        <v>3186220</v>
      </c>
      <c r="B4" s="71" t="s">
        <v>190</v>
      </c>
      <c r="C4" s="71">
        <v>90</v>
      </c>
      <c r="D4" s="72" t="s">
        <v>90</v>
      </c>
      <c r="E4" s="73" t="s">
        <v>88</v>
      </c>
      <c r="F4" s="74">
        <v>46021</v>
      </c>
      <c r="G4" s="73" t="s">
        <v>89</v>
      </c>
      <c r="H4" s="73"/>
      <c r="K4" s="71" t="s">
        <v>210</v>
      </c>
      <c r="M4" s="70" t="s">
        <v>211</v>
      </c>
      <c r="O4" s="71" t="s">
        <v>192</v>
      </c>
      <c r="P4" s="72" t="s">
        <v>218</v>
      </c>
      <c r="Q4" s="73" t="s">
        <v>212</v>
      </c>
      <c r="U4" s="75"/>
      <c r="W4" s="75"/>
      <c r="Y4" s="75"/>
      <c r="AC4" s="75"/>
      <c r="AG4" s="71" t="s">
        <v>206</v>
      </c>
      <c r="AH4" s="76" t="s">
        <v>213</v>
      </c>
      <c r="AI4" s="71" t="s">
        <v>196</v>
      </c>
      <c r="AJ4" s="71" t="s">
        <v>267</v>
      </c>
      <c r="AK4" s="71" t="s">
        <v>200</v>
      </c>
      <c r="AL4" s="75" t="s">
        <v>214</v>
      </c>
      <c r="AM4" s="71" t="s">
        <v>198</v>
      </c>
      <c r="AN4" s="71" t="s">
        <v>215</v>
      </c>
      <c r="AO4" s="71" t="s">
        <v>202</v>
      </c>
      <c r="AP4" s="71" t="s">
        <v>216</v>
      </c>
      <c r="AQ4" s="71"/>
      <c r="AS4" s="71" t="s">
        <v>204</v>
      </c>
      <c r="AT4" s="75" t="s">
        <v>217</v>
      </c>
      <c r="AV4" s="75" t="s">
        <v>218</v>
      </c>
      <c r="AW4" s="75" t="s">
        <v>209</v>
      </c>
      <c r="AX4" s="75" t="str">
        <f t="shared" si="0"/>
        <v>ESTEFANIA SANDOVAL CRUZ</v>
      </c>
      <c r="BA4" s="75" t="s">
        <v>208</v>
      </c>
      <c r="BB4" s="75" t="str">
        <f t="shared" si="1"/>
        <v>HECTOR ANDRES CIPAMOCHA CENTENO</v>
      </c>
      <c r="BP4" s="71"/>
      <c r="BQ4" s="71"/>
      <c r="BR4" s="71"/>
      <c r="BS4" s="71"/>
      <c r="BT4" s="71"/>
      <c r="BU4" s="71">
        <v>28</v>
      </c>
      <c r="BV4" s="71" t="s">
        <v>534</v>
      </c>
    </row>
    <row r="5" spans="1:74" ht="13.5" customHeight="1" x14ac:dyDescent="0.25">
      <c r="A5" s="70">
        <v>3186221</v>
      </c>
      <c r="B5" s="71" t="s">
        <v>190</v>
      </c>
      <c r="C5" s="71">
        <v>58</v>
      </c>
      <c r="D5" s="72" t="s">
        <v>90</v>
      </c>
      <c r="E5" s="73" t="s">
        <v>88</v>
      </c>
      <c r="F5" s="74">
        <v>46021</v>
      </c>
      <c r="G5" s="73" t="s">
        <v>89</v>
      </c>
      <c r="H5" s="73"/>
      <c r="K5" s="71" t="s">
        <v>210</v>
      </c>
      <c r="M5" s="70" t="s">
        <v>211</v>
      </c>
      <c r="O5" s="71" t="s">
        <v>192</v>
      </c>
      <c r="P5" s="72" t="s">
        <v>218</v>
      </c>
      <c r="Q5" s="73" t="s">
        <v>212</v>
      </c>
      <c r="U5" s="75"/>
      <c r="W5" s="75"/>
      <c r="Y5" s="75"/>
      <c r="AC5" s="75"/>
      <c r="AG5" s="71" t="s">
        <v>206</v>
      </c>
      <c r="AH5" s="76" t="s">
        <v>213</v>
      </c>
      <c r="AI5" s="71" t="s">
        <v>196</v>
      </c>
      <c r="AJ5" s="71" t="s">
        <v>219</v>
      </c>
      <c r="AK5" s="71" t="s">
        <v>200</v>
      </c>
      <c r="AL5" s="75" t="s">
        <v>220</v>
      </c>
      <c r="AM5" s="71" t="s">
        <v>198</v>
      </c>
      <c r="AN5" s="71" t="s">
        <v>215</v>
      </c>
      <c r="AO5" s="71" t="s">
        <v>202</v>
      </c>
      <c r="AP5" s="71" t="s">
        <v>216</v>
      </c>
      <c r="AQ5" s="71"/>
      <c r="AS5" s="71" t="s">
        <v>204</v>
      </c>
      <c r="AT5" s="75" t="s">
        <v>221</v>
      </c>
      <c r="AV5" s="75" t="s">
        <v>218</v>
      </c>
      <c r="AW5" s="75" t="s">
        <v>209</v>
      </c>
      <c r="AX5" s="75" t="str">
        <f t="shared" si="0"/>
        <v>ALBERTO ANTONIO TAPIA TORRES</v>
      </c>
      <c r="BA5" s="75" t="s">
        <v>208</v>
      </c>
      <c r="BB5" s="75" t="str">
        <f t="shared" si="1"/>
        <v>HECTOR ANDRES CIPAMOCHA CENTENO</v>
      </c>
      <c r="BP5" s="71"/>
      <c r="BQ5" s="71"/>
      <c r="BR5" s="71"/>
      <c r="BS5" s="71"/>
      <c r="BT5" s="71"/>
      <c r="BU5" s="71">
        <v>30</v>
      </c>
      <c r="BV5" s="71" t="s">
        <v>534</v>
      </c>
    </row>
    <row r="6" spans="1:74" ht="13.5" customHeight="1" x14ac:dyDescent="0.25">
      <c r="A6" s="70">
        <v>3186222</v>
      </c>
      <c r="B6" s="71" t="s">
        <v>190</v>
      </c>
      <c r="C6" s="71">
        <v>64</v>
      </c>
      <c r="D6" s="72" t="s">
        <v>90</v>
      </c>
      <c r="E6" s="73" t="s">
        <v>88</v>
      </c>
      <c r="F6" s="74">
        <v>46021</v>
      </c>
      <c r="G6" s="73" t="s">
        <v>89</v>
      </c>
      <c r="H6" s="73"/>
      <c r="K6" s="71" t="s">
        <v>210</v>
      </c>
      <c r="M6" s="70" t="s">
        <v>211</v>
      </c>
      <c r="O6" s="71" t="s">
        <v>192</v>
      </c>
      <c r="P6" s="72" t="s">
        <v>218</v>
      </c>
      <c r="Q6" s="73" t="s">
        <v>212</v>
      </c>
      <c r="U6" s="75"/>
      <c r="W6" s="75"/>
      <c r="Y6" s="75"/>
      <c r="AC6" s="75"/>
      <c r="AG6" s="71" t="s">
        <v>206</v>
      </c>
      <c r="AH6" s="76" t="s">
        <v>213</v>
      </c>
      <c r="AI6" s="71" t="s">
        <v>196</v>
      </c>
      <c r="AJ6" s="71" t="s">
        <v>219</v>
      </c>
      <c r="AK6" s="71" t="s">
        <v>200</v>
      </c>
      <c r="AL6" s="75" t="s">
        <v>220</v>
      </c>
      <c r="AM6" s="71" t="s">
        <v>198</v>
      </c>
      <c r="AN6" s="71" t="s">
        <v>215</v>
      </c>
      <c r="AO6" s="71" t="s">
        <v>202</v>
      </c>
      <c r="AP6" s="71" t="s">
        <v>216</v>
      </c>
      <c r="AQ6" s="71"/>
      <c r="AS6" s="71" t="s">
        <v>204</v>
      </c>
      <c r="AT6" s="75" t="s">
        <v>217</v>
      </c>
      <c r="AV6" s="75" t="s">
        <v>218</v>
      </c>
      <c r="AW6" s="75" t="s">
        <v>209</v>
      </c>
      <c r="AX6" s="75" t="str">
        <f t="shared" si="0"/>
        <v>ESTEFANIA SANDOVAL CRUZ</v>
      </c>
      <c r="BA6" s="75" t="s">
        <v>208</v>
      </c>
      <c r="BB6" s="75" t="str">
        <f t="shared" si="1"/>
        <v>MARIA CAROLINA GOMEZ CALLE</v>
      </c>
      <c r="BP6" s="71"/>
      <c r="BQ6" s="71"/>
      <c r="BR6" s="71"/>
      <c r="BS6" s="71"/>
      <c r="BT6" s="71"/>
      <c r="BU6" s="71">
        <v>35</v>
      </c>
      <c r="BV6" s="71" t="s">
        <v>534</v>
      </c>
    </row>
    <row r="7" spans="1:74" ht="13.5" customHeight="1" x14ac:dyDescent="0.25">
      <c r="A7" s="70">
        <v>3186281</v>
      </c>
      <c r="B7" s="71" t="s">
        <v>190</v>
      </c>
      <c r="C7" s="71">
        <v>70</v>
      </c>
      <c r="D7" s="72" t="s">
        <v>91</v>
      </c>
      <c r="E7" s="73" t="s">
        <v>88</v>
      </c>
      <c r="F7" s="74">
        <v>46021</v>
      </c>
      <c r="G7" s="73" t="s">
        <v>89</v>
      </c>
      <c r="H7" s="73"/>
      <c r="K7" s="71" t="s">
        <v>222</v>
      </c>
      <c r="M7" s="70" t="s">
        <v>222</v>
      </c>
      <c r="O7" s="71" t="s">
        <v>223</v>
      </c>
      <c r="P7" s="72" t="s">
        <v>218</v>
      </c>
      <c r="Q7" s="73" t="s">
        <v>224</v>
      </c>
      <c r="U7" s="75"/>
      <c r="W7" s="75"/>
      <c r="Y7" s="75"/>
      <c r="AC7" s="75"/>
      <c r="AG7" s="71" t="s">
        <v>198</v>
      </c>
      <c r="AH7" s="76" t="s">
        <v>225</v>
      </c>
      <c r="AI7" s="71" t="s">
        <v>200</v>
      </c>
      <c r="AJ7" s="71" t="s">
        <v>201</v>
      </c>
      <c r="AK7" s="71" t="s">
        <v>204</v>
      </c>
      <c r="AL7" s="75" t="s">
        <v>217</v>
      </c>
      <c r="AM7" s="71" t="s">
        <v>202</v>
      </c>
      <c r="AN7" s="71" t="s">
        <v>203</v>
      </c>
      <c r="AO7" s="71" t="s">
        <v>209</v>
      </c>
      <c r="AP7" s="71" t="s">
        <v>226</v>
      </c>
      <c r="AQ7" s="71"/>
      <c r="AS7" s="71" t="s">
        <v>206</v>
      </c>
      <c r="AT7" s="75" t="s">
        <v>207</v>
      </c>
      <c r="AV7" s="75" t="s">
        <v>218</v>
      </c>
      <c r="AW7" s="75" t="s">
        <v>208</v>
      </c>
      <c r="AX7" s="75" t="str">
        <f t="shared" si="0"/>
        <v>LAURA STHEPHANIA SANCHEZ PABON</v>
      </c>
      <c r="BA7" s="75" t="s">
        <v>196</v>
      </c>
      <c r="BB7" s="75" t="str">
        <f t="shared" si="1"/>
        <v>CESAR AUGUSTO BERMEO</v>
      </c>
      <c r="BP7" s="71"/>
      <c r="BQ7" s="71"/>
      <c r="BR7" s="71"/>
      <c r="BS7" s="71"/>
      <c r="BT7" s="71"/>
      <c r="BU7" s="71">
        <v>42</v>
      </c>
      <c r="BV7" s="71" t="s">
        <v>534</v>
      </c>
    </row>
    <row r="8" spans="1:74" ht="13.5" customHeight="1" x14ac:dyDescent="0.25">
      <c r="A8" s="70">
        <v>3186282</v>
      </c>
      <c r="B8" s="71" t="s">
        <v>190</v>
      </c>
      <c r="C8" s="71">
        <v>68</v>
      </c>
      <c r="D8" s="72" t="s">
        <v>91</v>
      </c>
      <c r="E8" s="73" t="s">
        <v>88</v>
      </c>
      <c r="F8" s="74">
        <v>46021</v>
      </c>
      <c r="G8" s="73" t="s">
        <v>89</v>
      </c>
      <c r="H8" s="73"/>
      <c r="K8" s="71" t="s">
        <v>222</v>
      </c>
      <c r="M8" s="70" t="s">
        <v>222</v>
      </c>
      <c r="O8" s="71" t="s">
        <v>223</v>
      </c>
      <c r="P8" s="72" t="s">
        <v>218</v>
      </c>
      <c r="Q8" s="73" t="s">
        <v>224</v>
      </c>
      <c r="U8" s="75"/>
      <c r="W8" s="75"/>
      <c r="Y8" s="75"/>
      <c r="AC8" s="75"/>
      <c r="AG8" s="71" t="s">
        <v>198</v>
      </c>
      <c r="AH8" s="76" t="s">
        <v>225</v>
      </c>
      <c r="AI8" s="71" t="s">
        <v>200</v>
      </c>
      <c r="AJ8" s="71" t="s">
        <v>201</v>
      </c>
      <c r="AK8" s="71" t="s">
        <v>204</v>
      </c>
      <c r="AL8" s="75" t="s">
        <v>205</v>
      </c>
      <c r="AM8" s="71" t="s">
        <v>202</v>
      </c>
      <c r="AN8" s="71" t="s">
        <v>203</v>
      </c>
      <c r="AO8" s="71" t="s">
        <v>209</v>
      </c>
      <c r="AP8" s="71" t="s">
        <v>226</v>
      </c>
      <c r="AQ8" s="71"/>
      <c r="AS8" s="71" t="s">
        <v>206</v>
      </c>
      <c r="AT8" s="75" t="s">
        <v>227</v>
      </c>
      <c r="AV8" s="75" t="s">
        <v>218</v>
      </c>
      <c r="AW8" s="75" t="s">
        <v>208</v>
      </c>
      <c r="AX8" s="75" t="str">
        <f t="shared" si="0"/>
        <v>LAURA STHEPHANIA SANCHEZ PABON</v>
      </c>
      <c r="BA8" s="75" t="s">
        <v>196</v>
      </c>
      <c r="BB8" s="75" t="str">
        <f t="shared" si="1"/>
        <v>CESAR AUGUSTO BERMEO</v>
      </c>
      <c r="BP8" s="71"/>
      <c r="BQ8" s="71"/>
      <c r="BR8" s="71"/>
      <c r="BS8" s="71"/>
      <c r="BT8" s="71"/>
      <c r="BU8" s="71">
        <v>32</v>
      </c>
      <c r="BV8" s="71" t="s">
        <v>534</v>
      </c>
    </row>
    <row r="9" spans="1:74" ht="13.5" customHeight="1" x14ac:dyDescent="0.25">
      <c r="A9" s="70">
        <v>3186283</v>
      </c>
      <c r="B9" s="71" t="s">
        <v>190</v>
      </c>
      <c r="C9" s="71">
        <v>64</v>
      </c>
      <c r="D9" s="72" t="s">
        <v>91</v>
      </c>
      <c r="E9" s="73" t="s">
        <v>88</v>
      </c>
      <c r="F9" s="74">
        <v>46021</v>
      </c>
      <c r="G9" s="73" t="s">
        <v>89</v>
      </c>
      <c r="H9" s="73"/>
      <c r="K9" s="71" t="s">
        <v>222</v>
      </c>
      <c r="M9" s="70" t="s">
        <v>222</v>
      </c>
      <c r="O9" s="71" t="s">
        <v>223</v>
      </c>
      <c r="P9" s="72" t="s">
        <v>218</v>
      </c>
      <c r="Q9" s="73" t="s">
        <v>224</v>
      </c>
      <c r="U9" s="75"/>
      <c r="W9" s="75"/>
      <c r="Y9" s="75"/>
      <c r="AC9" s="75"/>
      <c r="AG9" s="71" t="s">
        <v>198</v>
      </c>
      <c r="AH9" s="76" t="s">
        <v>225</v>
      </c>
      <c r="AI9" s="71" t="s">
        <v>200</v>
      </c>
      <c r="AJ9" s="71" t="s">
        <v>201</v>
      </c>
      <c r="AK9" s="71" t="s">
        <v>204</v>
      </c>
      <c r="AL9" s="75" t="s">
        <v>221</v>
      </c>
      <c r="AM9" s="71" t="s">
        <v>202</v>
      </c>
      <c r="AN9" s="71" t="s">
        <v>203</v>
      </c>
      <c r="AO9" s="71" t="s">
        <v>209</v>
      </c>
      <c r="AP9" s="71" t="s">
        <v>228</v>
      </c>
      <c r="AQ9" s="71"/>
      <c r="AS9" s="71" t="s">
        <v>206</v>
      </c>
      <c r="AT9" s="75" t="s">
        <v>227</v>
      </c>
      <c r="AV9" s="75" t="s">
        <v>218</v>
      </c>
      <c r="AW9" s="75" t="s">
        <v>208</v>
      </c>
      <c r="AX9" s="75" t="str">
        <f t="shared" si="0"/>
        <v>MARIA CAROLINA GOMEZ CALLE</v>
      </c>
      <c r="BA9" s="75" t="s">
        <v>196</v>
      </c>
      <c r="BB9" s="75" t="str">
        <f t="shared" si="1"/>
        <v>JORGE ARMANDO PIEDRAHITA</v>
      </c>
      <c r="BP9" s="71"/>
      <c r="BQ9" s="71"/>
      <c r="BR9" s="71"/>
      <c r="BS9" s="71"/>
      <c r="BT9" s="71"/>
      <c r="BU9" s="71">
        <v>28</v>
      </c>
      <c r="BV9" s="71" t="s">
        <v>534</v>
      </c>
    </row>
    <row r="10" spans="1:74" ht="13.5" customHeight="1" x14ac:dyDescent="0.25">
      <c r="A10" s="70">
        <v>3186284</v>
      </c>
      <c r="B10" s="71" t="s">
        <v>190</v>
      </c>
      <c r="C10" s="71">
        <v>70</v>
      </c>
      <c r="D10" s="72" t="s">
        <v>91</v>
      </c>
      <c r="E10" s="73" t="s">
        <v>88</v>
      </c>
      <c r="F10" s="74">
        <v>46021</v>
      </c>
      <c r="G10" s="73" t="s">
        <v>89</v>
      </c>
      <c r="H10" s="73"/>
      <c r="K10" s="71" t="s">
        <v>229</v>
      </c>
      <c r="L10" s="71" t="s">
        <v>229</v>
      </c>
      <c r="M10" s="70" t="s">
        <v>230</v>
      </c>
      <c r="O10" s="71" t="s">
        <v>223</v>
      </c>
      <c r="P10" s="72" t="s">
        <v>218</v>
      </c>
      <c r="Q10" s="73" t="s">
        <v>224</v>
      </c>
      <c r="U10" s="75"/>
      <c r="W10" s="75"/>
      <c r="Y10" s="75"/>
      <c r="AC10" s="75"/>
      <c r="AG10" s="71" t="s">
        <v>198</v>
      </c>
      <c r="AH10" s="76" t="s">
        <v>225</v>
      </c>
      <c r="AI10" s="71" t="s">
        <v>200</v>
      </c>
      <c r="AJ10" s="71" t="s">
        <v>201</v>
      </c>
      <c r="AK10" s="71" t="s">
        <v>204</v>
      </c>
      <c r="AL10" s="75" t="s">
        <v>217</v>
      </c>
      <c r="AM10" s="71" t="s">
        <v>202</v>
      </c>
      <c r="AN10" s="71" t="s">
        <v>216</v>
      </c>
      <c r="AO10" s="71" t="s">
        <v>209</v>
      </c>
      <c r="AP10" s="71" t="s">
        <v>228</v>
      </c>
      <c r="AQ10" s="71"/>
      <c r="AS10" s="71" t="s">
        <v>206</v>
      </c>
      <c r="AT10" s="75" t="s">
        <v>213</v>
      </c>
      <c r="AV10" s="75" t="s">
        <v>218</v>
      </c>
      <c r="AW10" s="75" t="s">
        <v>208</v>
      </c>
      <c r="AX10" s="75" t="str">
        <f t="shared" si="0"/>
        <v>MARIA CAROLINA GOMEZ CALLE</v>
      </c>
      <c r="BA10" s="75" t="s">
        <v>196</v>
      </c>
      <c r="BB10" s="75" t="str">
        <f t="shared" si="1"/>
        <v>JORGE ARMANDO PIEDRAHITA</v>
      </c>
      <c r="BP10" s="71"/>
      <c r="BQ10" s="71"/>
      <c r="BR10" s="71"/>
      <c r="BS10" s="71"/>
      <c r="BT10" s="71"/>
      <c r="BU10" s="71">
        <v>34</v>
      </c>
      <c r="BV10" s="71" t="s">
        <v>534</v>
      </c>
    </row>
    <row r="11" spans="1:74" ht="13.5" customHeight="1" x14ac:dyDescent="0.25">
      <c r="A11" s="70">
        <v>3186285</v>
      </c>
      <c r="B11" s="71" t="s">
        <v>190</v>
      </c>
      <c r="C11" s="71">
        <v>76</v>
      </c>
      <c r="D11" s="72" t="s">
        <v>91</v>
      </c>
      <c r="E11" s="73" t="s">
        <v>88</v>
      </c>
      <c r="F11" s="74">
        <v>46021</v>
      </c>
      <c r="G11" s="73" t="s">
        <v>89</v>
      </c>
      <c r="H11" s="73"/>
      <c r="K11" s="71" t="s">
        <v>229</v>
      </c>
      <c r="L11" s="71" t="s">
        <v>229</v>
      </c>
      <c r="M11" s="70" t="s">
        <v>230</v>
      </c>
      <c r="O11" s="71" t="s">
        <v>231</v>
      </c>
      <c r="P11" s="72" t="s">
        <v>218</v>
      </c>
      <c r="Q11" s="73" t="s">
        <v>224</v>
      </c>
      <c r="U11" s="75"/>
      <c r="W11" s="75"/>
      <c r="Y11" s="75"/>
      <c r="AC11" s="75"/>
      <c r="AG11" s="71" t="s">
        <v>198</v>
      </c>
      <c r="AH11" s="76" t="s">
        <v>225</v>
      </c>
      <c r="AI11" s="71" t="s">
        <v>200</v>
      </c>
      <c r="AJ11" s="71" t="s">
        <v>201</v>
      </c>
      <c r="AK11" s="71" t="s">
        <v>204</v>
      </c>
      <c r="AL11" s="75" t="s">
        <v>221</v>
      </c>
      <c r="AM11" s="71" t="s">
        <v>202</v>
      </c>
      <c r="AN11" s="71" t="s">
        <v>216</v>
      </c>
      <c r="AO11" s="71" t="s">
        <v>209</v>
      </c>
      <c r="AP11" s="71" t="s">
        <v>228</v>
      </c>
      <c r="AQ11" s="71"/>
      <c r="AS11" s="71" t="s">
        <v>206</v>
      </c>
      <c r="AT11" s="75" t="s">
        <v>227</v>
      </c>
      <c r="AV11" s="75" t="s">
        <v>218</v>
      </c>
      <c r="AW11" s="75" t="s">
        <v>196</v>
      </c>
      <c r="AX11" s="75" t="str">
        <f t="shared" si="0"/>
        <v>CESAR AUGUSTO BERMEO</v>
      </c>
      <c r="BA11" s="75" t="s">
        <v>208</v>
      </c>
      <c r="BB11" s="75" t="str">
        <f t="shared" si="1"/>
        <v>LAURA STHEPHANIA SANCHEZ PABON</v>
      </c>
      <c r="BP11" s="71"/>
      <c r="BQ11" s="71"/>
      <c r="BR11" s="71"/>
      <c r="BS11" s="71"/>
      <c r="BT11" s="71"/>
      <c r="BU11" s="71">
        <v>65</v>
      </c>
      <c r="BV11" s="71" t="s">
        <v>534</v>
      </c>
    </row>
    <row r="12" spans="1:74" ht="13.5" customHeight="1" x14ac:dyDescent="0.25">
      <c r="A12" s="70">
        <v>3186303</v>
      </c>
      <c r="B12" s="71" t="s">
        <v>190</v>
      </c>
      <c r="C12" s="71">
        <v>57</v>
      </c>
      <c r="D12" s="72" t="s">
        <v>92</v>
      </c>
      <c r="E12" s="73" t="s">
        <v>88</v>
      </c>
      <c r="F12" s="74">
        <v>46021</v>
      </c>
      <c r="G12" s="73" t="s">
        <v>89</v>
      </c>
      <c r="H12" s="73"/>
      <c r="K12" s="71" t="s">
        <v>229</v>
      </c>
      <c r="M12" s="70" t="s">
        <v>232</v>
      </c>
      <c r="O12" s="71" t="s">
        <v>233</v>
      </c>
      <c r="P12" s="72" t="s">
        <v>218</v>
      </c>
      <c r="Q12" s="73" t="s">
        <v>234</v>
      </c>
      <c r="U12" s="75"/>
      <c r="W12" s="75"/>
      <c r="Y12" s="75"/>
      <c r="AC12" s="75"/>
      <c r="AG12" s="71" t="s">
        <v>206</v>
      </c>
      <c r="AH12" s="76" t="s">
        <v>227</v>
      </c>
      <c r="AI12" s="71" t="s">
        <v>196</v>
      </c>
      <c r="AJ12" s="71" t="s">
        <v>267</v>
      </c>
      <c r="AK12" s="71" t="s">
        <v>202</v>
      </c>
      <c r="AL12" s="75" t="s">
        <v>203</v>
      </c>
      <c r="AM12" s="71" t="s">
        <v>204</v>
      </c>
      <c r="AN12" s="71" t="s">
        <v>205</v>
      </c>
      <c r="AO12" s="71" t="s">
        <v>209</v>
      </c>
      <c r="AP12" s="71" t="s">
        <v>226</v>
      </c>
      <c r="AQ12" s="71"/>
      <c r="AS12" s="71" t="s">
        <v>208</v>
      </c>
      <c r="AT12" s="75" t="s">
        <v>235</v>
      </c>
      <c r="AV12" s="75" t="s">
        <v>218</v>
      </c>
      <c r="AW12" s="75" t="s">
        <v>198</v>
      </c>
      <c r="AX12" s="75" t="str">
        <f t="shared" si="0"/>
        <v>ANGELICA JANETH RODRIGUEZ ALONSO</v>
      </c>
      <c r="BA12" s="75" t="s">
        <v>200</v>
      </c>
      <c r="BB12" s="75" t="str">
        <f t="shared" si="1"/>
        <v>ELKIN DURAN MANCIPE</v>
      </c>
      <c r="BP12" s="71"/>
      <c r="BQ12" s="71"/>
      <c r="BR12" s="71"/>
      <c r="BS12" s="71"/>
      <c r="BT12" s="71"/>
      <c r="BU12" s="71">
        <v>20</v>
      </c>
      <c r="BV12" s="71" t="s">
        <v>534</v>
      </c>
    </row>
    <row r="13" spans="1:74" ht="13.5" customHeight="1" x14ac:dyDescent="0.25">
      <c r="A13" s="70">
        <v>3186304</v>
      </c>
      <c r="B13" s="71" t="s">
        <v>190</v>
      </c>
      <c r="C13" s="71">
        <v>73</v>
      </c>
      <c r="D13" s="72" t="s">
        <v>92</v>
      </c>
      <c r="E13" s="73" t="s">
        <v>88</v>
      </c>
      <c r="F13" s="74">
        <v>46021</v>
      </c>
      <c r="G13" s="73" t="s">
        <v>89</v>
      </c>
      <c r="H13" s="73"/>
      <c r="K13" s="71" t="s">
        <v>229</v>
      </c>
      <c r="M13" s="70" t="s">
        <v>232</v>
      </c>
      <c r="O13" s="71" t="s">
        <v>233</v>
      </c>
      <c r="P13" s="72" t="s">
        <v>218</v>
      </c>
      <c r="Q13" s="73" t="s">
        <v>234</v>
      </c>
      <c r="U13" s="75"/>
      <c r="W13" s="75"/>
      <c r="Y13" s="75"/>
      <c r="AC13" s="75"/>
      <c r="AG13" s="71" t="s">
        <v>206</v>
      </c>
      <c r="AH13" s="76" t="s">
        <v>227</v>
      </c>
      <c r="AI13" s="71" t="s">
        <v>196</v>
      </c>
      <c r="AJ13" s="71" t="s">
        <v>219</v>
      </c>
      <c r="AK13" s="71" t="s">
        <v>202</v>
      </c>
      <c r="AL13" s="75" t="s">
        <v>203</v>
      </c>
      <c r="AM13" s="71" t="s">
        <v>204</v>
      </c>
      <c r="AN13" s="71" t="s">
        <v>217</v>
      </c>
      <c r="AO13" s="71" t="s">
        <v>209</v>
      </c>
      <c r="AP13" s="71" t="s">
        <v>236</v>
      </c>
      <c r="AQ13" s="71"/>
      <c r="AS13" s="71" t="s">
        <v>208</v>
      </c>
      <c r="AT13" s="75" t="s">
        <v>235</v>
      </c>
      <c r="AV13" s="75" t="s">
        <v>218</v>
      </c>
      <c r="AW13" s="75" t="s">
        <v>198</v>
      </c>
      <c r="AX13" s="75" t="str">
        <f t="shared" si="0"/>
        <v>ANGELICA JANETH RODRIGUEZ ALONSO</v>
      </c>
      <c r="BA13" s="75" t="s">
        <v>200</v>
      </c>
      <c r="BB13" s="75" t="str">
        <f t="shared" si="1"/>
        <v>WILDER JULIAN ARIAS HERNANDEZ</v>
      </c>
      <c r="BP13" s="71"/>
      <c r="BQ13" s="71"/>
      <c r="BR13" s="71"/>
      <c r="BS13" s="71"/>
      <c r="BT13" s="71"/>
      <c r="BU13" s="71">
        <v>20</v>
      </c>
      <c r="BV13" s="71" t="s">
        <v>534</v>
      </c>
    </row>
    <row r="14" spans="1:74" ht="13.5" customHeight="1" x14ac:dyDescent="0.25">
      <c r="A14" s="70">
        <v>3186305</v>
      </c>
      <c r="B14" s="71" t="s">
        <v>190</v>
      </c>
      <c r="C14" s="71">
        <v>52</v>
      </c>
      <c r="D14" s="72" t="s">
        <v>92</v>
      </c>
      <c r="E14" s="73" t="s">
        <v>88</v>
      </c>
      <c r="F14" s="74">
        <v>46021</v>
      </c>
      <c r="G14" s="73" t="s">
        <v>89</v>
      </c>
      <c r="H14" s="73"/>
      <c r="K14" s="71" t="s">
        <v>229</v>
      </c>
      <c r="M14" s="70" t="s">
        <v>232</v>
      </c>
      <c r="N14" s="71" t="s">
        <v>237</v>
      </c>
      <c r="O14" s="71" t="s">
        <v>238</v>
      </c>
      <c r="P14" s="72" t="s">
        <v>218</v>
      </c>
      <c r="Q14" s="73" t="s">
        <v>234</v>
      </c>
      <c r="U14" s="75"/>
      <c r="W14" s="75"/>
      <c r="Y14" s="75"/>
      <c r="AC14" s="75"/>
      <c r="AG14" s="71" t="s">
        <v>206</v>
      </c>
      <c r="AH14" s="76" t="s">
        <v>227</v>
      </c>
      <c r="AI14" s="71" t="s">
        <v>196</v>
      </c>
      <c r="AJ14" s="71" t="s">
        <v>219</v>
      </c>
      <c r="AK14" s="71" t="s">
        <v>202</v>
      </c>
      <c r="AL14" s="75" t="s">
        <v>216</v>
      </c>
      <c r="AM14" s="71" t="s">
        <v>204</v>
      </c>
      <c r="AN14" s="71" t="s">
        <v>205</v>
      </c>
      <c r="AO14" s="71" t="s">
        <v>209</v>
      </c>
      <c r="AP14" s="71" t="s">
        <v>236</v>
      </c>
      <c r="AQ14" s="71"/>
      <c r="AS14" s="71" t="s">
        <v>208</v>
      </c>
      <c r="AT14" s="75" t="s">
        <v>239</v>
      </c>
      <c r="AV14" s="75" t="s">
        <v>218</v>
      </c>
      <c r="AW14" s="75" t="s">
        <v>198</v>
      </c>
      <c r="AX14" s="75" t="str">
        <f t="shared" si="0"/>
        <v>CRISTINA CASTAÑO CASTILLO</v>
      </c>
      <c r="BA14" s="75" t="s">
        <v>200</v>
      </c>
      <c r="BB14" s="75" t="str">
        <f t="shared" si="1"/>
        <v>WILDER JULIAN ARIAS HERNANDEZ</v>
      </c>
      <c r="BP14" s="71"/>
      <c r="BQ14" s="71"/>
      <c r="BR14" s="71"/>
      <c r="BS14" s="71"/>
      <c r="BT14" s="71"/>
      <c r="BU14" s="71">
        <v>34</v>
      </c>
      <c r="BV14" s="71" t="s">
        <v>535</v>
      </c>
    </row>
    <row r="15" spans="1:74" ht="13.5" customHeight="1" x14ac:dyDescent="0.25">
      <c r="A15" s="70">
        <v>3167875</v>
      </c>
      <c r="B15" s="71" t="s">
        <v>190</v>
      </c>
      <c r="C15" s="71">
        <v>51</v>
      </c>
      <c r="D15" s="72" t="s">
        <v>93</v>
      </c>
      <c r="E15" s="73" t="s">
        <v>94</v>
      </c>
      <c r="F15" s="74">
        <v>46022</v>
      </c>
      <c r="G15" s="73" t="s">
        <v>95</v>
      </c>
      <c r="H15" s="73"/>
      <c r="K15" s="71" t="s">
        <v>191</v>
      </c>
      <c r="M15" s="70" t="s">
        <v>240</v>
      </c>
      <c r="N15" s="71" t="s">
        <v>237</v>
      </c>
      <c r="O15" s="71" t="s">
        <v>238</v>
      </c>
      <c r="P15" s="72" t="s">
        <v>218</v>
      </c>
      <c r="Q15" s="73" t="s">
        <v>241</v>
      </c>
      <c r="U15" s="75"/>
      <c r="W15" s="75"/>
      <c r="Y15" s="75"/>
      <c r="AC15" s="75"/>
      <c r="AG15" s="71" t="s">
        <v>198</v>
      </c>
      <c r="AH15" s="76" t="s">
        <v>199</v>
      </c>
      <c r="AI15" s="71" t="s">
        <v>209</v>
      </c>
      <c r="AJ15" s="71" t="s">
        <v>236</v>
      </c>
      <c r="AK15" s="71" t="s">
        <v>200</v>
      </c>
      <c r="AL15" s="75" t="s">
        <v>201</v>
      </c>
      <c r="AM15" s="71" t="s">
        <v>242</v>
      </c>
      <c r="AN15" s="71" t="s">
        <v>243</v>
      </c>
      <c r="AO15" s="71" t="s">
        <v>202</v>
      </c>
      <c r="AP15" s="71" t="s">
        <v>216</v>
      </c>
      <c r="AQ15" s="71"/>
      <c r="AS15" s="71" t="s">
        <v>204</v>
      </c>
      <c r="AT15" s="75" t="s">
        <v>221</v>
      </c>
      <c r="AU15" s="75" t="s">
        <v>196</v>
      </c>
      <c r="AV15" s="75" t="s">
        <v>219</v>
      </c>
      <c r="AW15" s="75" t="s">
        <v>206</v>
      </c>
      <c r="AX15" s="75" t="str">
        <f t="shared" si="0"/>
        <v>DEISY JULIETH GARCIA CASTAÑEDA</v>
      </c>
      <c r="BA15" s="75" t="s">
        <v>208</v>
      </c>
      <c r="BB15" s="75" t="str">
        <f t="shared" si="1"/>
        <v>LAURA STHEPHANIA SANCHEZ PABON</v>
      </c>
      <c r="BP15" s="71"/>
      <c r="BQ15" s="71"/>
      <c r="BR15" s="71"/>
      <c r="BS15" s="71"/>
      <c r="BT15" s="71"/>
      <c r="BU15" s="71">
        <v>43</v>
      </c>
      <c r="BV15" s="71" t="s">
        <v>535</v>
      </c>
    </row>
    <row r="16" spans="1:74" ht="13.5" customHeight="1" x14ac:dyDescent="0.25">
      <c r="A16" s="70">
        <v>3167876</v>
      </c>
      <c r="B16" s="71" t="s">
        <v>190</v>
      </c>
      <c r="C16" s="71">
        <v>42</v>
      </c>
      <c r="D16" s="72" t="s">
        <v>93</v>
      </c>
      <c r="E16" s="73" t="s">
        <v>94</v>
      </c>
      <c r="F16" s="74">
        <v>46022</v>
      </c>
      <c r="G16" s="73" t="s">
        <v>95</v>
      </c>
      <c r="H16" s="73"/>
      <c r="K16" s="71" t="s">
        <v>191</v>
      </c>
      <c r="M16" s="70" t="s">
        <v>240</v>
      </c>
      <c r="N16" s="71" t="s">
        <v>237</v>
      </c>
      <c r="O16" s="71" t="s">
        <v>238</v>
      </c>
      <c r="P16" s="72" t="s">
        <v>218</v>
      </c>
      <c r="Q16" s="73" t="s">
        <v>241</v>
      </c>
      <c r="U16" s="75"/>
      <c r="W16" s="75"/>
      <c r="Y16" s="75"/>
      <c r="AC16" s="75"/>
      <c r="AG16" s="71" t="s">
        <v>198</v>
      </c>
      <c r="AH16" s="76" t="s">
        <v>199</v>
      </c>
      <c r="AI16" s="71" t="s">
        <v>209</v>
      </c>
      <c r="AJ16" s="71" t="s">
        <v>236</v>
      </c>
      <c r="AK16" s="71" t="s">
        <v>200</v>
      </c>
      <c r="AL16" s="75" t="s">
        <v>220</v>
      </c>
      <c r="AM16" s="71" t="s">
        <v>242</v>
      </c>
      <c r="AN16" s="71" t="s">
        <v>243</v>
      </c>
      <c r="AO16" s="71" t="s">
        <v>204</v>
      </c>
      <c r="AP16" s="71" t="s">
        <v>217</v>
      </c>
      <c r="AQ16" s="71"/>
      <c r="AS16" s="71" t="s">
        <v>202</v>
      </c>
      <c r="AT16" s="75" t="s">
        <v>216</v>
      </c>
      <c r="AU16" s="75" t="s">
        <v>196</v>
      </c>
      <c r="AV16" s="75" t="s">
        <v>244</v>
      </c>
      <c r="AW16" s="75" t="s">
        <v>206</v>
      </c>
      <c r="AX16" s="75" t="str">
        <f t="shared" si="0"/>
        <v>DEISY JULIETH GARCIA CASTAÑEDA</v>
      </c>
      <c r="BA16" s="75" t="s">
        <v>208</v>
      </c>
      <c r="BB16" s="75" t="str">
        <f t="shared" si="1"/>
        <v>LAURA STHEPHANIA SANCHEZ PABON</v>
      </c>
      <c r="BP16" s="71"/>
      <c r="BQ16" s="71"/>
      <c r="BR16" s="71"/>
      <c r="BS16" s="71"/>
      <c r="BT16" s="71"/>
      <c r="BU16" s="71">
        <v>36</v>
      </c>
      <c r="BV16" s="71" t="s">
        <v>535</v>
      </c>
    </row>
    <row r="17" spans="1:74" ht="13.5" customHeight="1" x14ac:dyDescent="0.25">
      <c r="A17" s="70">
        <v>3167877</v>
      </c>
      <c r="B17" s="71" t="s">
        <v>190</v>
      </c>
      <c r="C17" s="71">
        <v>56</v>
      </c>
      <c r="D17" s="72" t="s">
        <v>93</v>
      </c>
      <c r="E17" s="73" t="s">
        <v>94</v>
      </c>
      <c r="F17" s="74">
        <v>46022</v>
      </c>
      <c r="G17" s="73" t="s">
        <v>95</v>
      </c>
      <c r="H17" s="73"/>
      <c r="K17" s="71" t="s">
        <v>191</v>
      </c>
      <c r="M17" s="70" t="s">
        <v>240</v>
      </c>
      <c r="N17" s="71" t="s">
        <v>237</v>
      </c>
      <c r="O17" s="71" t="s">
        <v>238</v>
      </c>
      <c r="P17" s="72" t="s">
        <v>218</v>
      </c>
      <c r="Q17" s="73" t="s">
        <v>241</v>
      </c>
      <c r="U17" s="75"/>
      <c r="W17" s="75"/>
      <c r="Y17" s="75"/>
      <c r="AC17" s="75"/>
      <c r="AG17" s="71" t="s">
        <v>198</v>
      </c>
      <c r="AH17" s="76" t="s">
        <v>199</v>
      </c>
      <c r="AI17" s="71" t="s">
        <v>209</v>
      </c>
      <c r="AJ17" s="71" t="s">
        <v>236</v>
      </c>
      <c r="AK17" s="71" t="s">
        <v>200</v>
      </c>
      <c r="AL17" s="75" t="s">
        <v>201</v>
      </c>
      <c r="AM17" s="71" t="s">
        <v>242</v>
      </c>
      <c r="AN17" s="71" t="s">
        <v>243</v>
      </c>
      <c r="AO17" s="71" t="s">
        <v>202</v>
      </c>
      <c r="AP17" s="71" t="s">
        <v>203</v>
      </c>
      <c r="AQ17" s="71"/>
      <c r="AS17" s="71" t="s">
        <v>204</v>
      </c>
      <c r="AT17" s="75" t="s">
        <v>205</v>
      </c>
      <c r="AU17" s="75" t="s">
        <v>196</v>
      </c>
      <c r="AV17" s="75" t="s">
        <v>244</v>
      </c>
      <c r="AW17" s="75" t="s">
        <v>206</v>
      </c>
      <c r="AX17" s="75" t="str">
        <f t="shared" si="0"/>
        <v>JORGE IVAN PEREZ GAITAN</v>
      </c>
      <c r="BA17" s="75" t="s">
        <v>208</v>
      </c>
      <c r="BB17" s="75" t="str">
        <f t="shared" si="1"/>
        <v>MARIA CAROLINA GOMEZ CALLE</v>
      </c>
      <c r="BP17" s="71"/>
      <c r="BQ17" s="71"/>
      <c r="BR17" s="71"/>
      <c r="BS17" s="71"/>
      <c r="BT17" s="71"/>
      <c r="BU17" s="71">
        <v>48</v>
      </c>
      <c r="BV17" s="71" t="s">
        <v>535</v>
      </c>
    </row>
    <row r="18" spans="1:74" ht="13.5" customHeight="1" x14ac:dyDescent="0.25">
      <c r="A18" s="70">
        <v>2977135</v>
      </c>
      <c r="B18" s="71" t="s">
        <v>245</v>
      </c>
      <c r="C18" s="71">
        <v>20</v>
      </c>
      <c r="D18" s="72" t="s">
        <v>96</v>
      </c>
      <c r="E18" s="73" t="s">
        <v>97</v>
      </c>
      <c r="F18" s="74">
        <f>IF(
OR(((ROUND((G18-E18)/30,0))=27),((ROUND((G18-E18)/30,0))=15)),
EDATE(G18,-6),
IF(
(ROUND((G18-E18)/30,0))=12,
EDATE(G18,-3),
IF(
(ROUND((G18-E18)/30,0))=9,
EDATE(G18,0),"CALCULAR")))</f>
        <v>46066</v>
      </c>
      <c r="G18" s="73" t="s">
        <v>98</v>
      </c>
      <c r="H18" s="73" t="s">
        <v>246</v>
      </c>
      <c r="I18" s="71" t="s">
        <v>246</v>
      </c>
      <c r="J18" s="71" t="s">
        <v>247</v>
      </c>
      <c r="M18" s="70" t="s">
        <v>246</v>
      </c>
      <c r="N18" s="71" t="s">
        <v>223</v>
      </c>
      <c r="O18" s="71" t="s">
        <v>223</v>
      </c>
      <c r="P18" s="72" t="s">
        <v>218</v>
      </c>
      <c r="Q18" s="73" t="s">
        <v>248</v>
      </c>
      <c r="R18" s="71" t="s">
        <v>249</v>
      </c>
      <c r="S18" s="75" t="s">
        <v>202</v>
      </c>
      <c r="T18" s="75" t="s">
        <v>250</v>
      </c>
      <c r="U18" s="75" t="s">
        <v>209</v>
      </c>
      <c r="V18" s="71" t="s">
        <v>251</v>
      </c>
      <c r="W18" s="75" t="s">
        <v>196</v>
      </c>
      <c r="X18" s="71" t="s">
        <v>252</v>
      </c>
      <c r="Y18" s="75" t="s">
        <v>204</v>
      </c>
      <c r="Z18" s="71" t="s">
        <v>221</v>
      </c>
      <c r="AA18" s="71" t="s">
        <v>208</v>
      </c>
      <c r="AB18" s="71" t="s">
        <v>239</v>
      </c>
      <c r="AC18" s="75"/>
      <c r="AE18" s="71" t="s">
        <v>200</v>
      </c>
      <c r="AF18" s="71" t="s">
        <v>220</v>
      </c>
      <c r="AG18" s="71" t="s">
        <v>198</v>
      </c>
      <c r="AH18" s="76" t="s">
        <v>253</v>
      </c>
      <c r="AK18" s="71" t="s">
        <v>254</v>
      </c>
      <c r="AL18" s="75" t="s">
        <v>255</v>
      </c>
      <c r="AM18" s="71"/>
      <c r="AN18" s="71"/>
      <c r="AO18" s="71" t="s">
        <v>194</v>
      </c>
      <c r="AP18" s="71" t="s">
        <v>195</v>
      </c>
      <c r="AQ18" s="71"/>
      <c r="AS18" s="71"/>
      <c r="AT18" s="75" t="s">
        <v>218</v>
      </c>
      <c r="AV18" s="75" t="s">
        <v>218</v>
      </c>
      <c r="AW18" s="75" t="s">
        <v>206</v>
      </c>
      <c r="AX18" s="75" t="str">
        <f t="shared" si="0"/>
        <v>DEISY JULIETH GARCIA CASTAÑEDA</v>
      </c>
      <c r="BP18" s="71"/>
      <c r="BQ18" s="71"/>
      <c r="BR18" s="71"/>
      <c r="BS18" s="71"/>
      <c r="BT18" s="71"/>
      <c r="BV18" s="71" t="s">
        <v>536</v>
      </c>
    </row>
    <row r="19" spans="1:74" ht="13.5" customHeight="1" x14ac:dyDescent="0.25">
      <c r="A19" s="70">
        <v>2977136</v>
      </c>
      <c r="B19" s="71" t="s">
        <v>245</v>
      </c>
      <c r="C19" s="71">
        <v>25</v>
      </c>
      <c r="D19" s="72" t="s">
        <v>96</v>
      </c>
      <c r="E19" s="73" t="s">
        <v>97</v>
      </c>
      <c r="F19" s="74">
        <f t="shared" ref="F19:F73" si="2">IF(
OR(((ROUND((G19-E19)/30,0))=27),((ROUND((G19-E19)/30,0))=15)),
EDATE(G19,-6),
IF(
(ROUND((G19-E19)/30,0))=12,
EDATE(G19,-3),
IF(
(ROUND((G19-E19)/30,0))=9,
EDATE(G19,0),"CALCULAR")))</f>
        <v>46066</v>
      </c>
      <c r="G19" s="73" t="s">
        <v>98</v>
      </c>
      <c r="H19" s="73" t="s">
        <v>246</v>
      </c>
      <c r="I19" s="71" t="s">
        <v>246</v>
      </c>
      <c r="J19" s="71" t="s">
        <v>247</v>
      </c>
      <c r="M19" s="70" t="s">
        <v>246</v>
      </c>
      <c r="N19" s="71" t="s">
        <v>223</v>
      </c>
      <c r="O19" s="71" t="s">
        <v>223</v>
      </c>
      <c r="P19" s="72" t="s">
        <v>218</v>
      </c>
      <c r="Q19" s="73" t="s">
        <v>248</v>
      </c>
      <c r="R19" s="71" t="s">
        <v>249</v>
      </c>
      <c r="S19" s="75" t="s">
        <v>202</v>
      </c>
      <c r="T19" s="75" t="s">
        <v>256</v>
      </c>
      <c r="U19" s="75" t="s">
        <v>194</v>
      </c>
      <c r="V19" s="71" t="s">
        <v>257</v>
      </c>
      <c r="W19" s="75" t="s">
        <v>196</v>
      </c>
      <c r="X19" s="71" t="s">
        <v>252</v>
      </c>
      <c r="Y19" s="75" t="s">
        <v>204</v>
      </c>
      <c r="Z19" s="71" t="s">
        <v>258</v>
      </c>
      <c r="AA19" s="71" t="s">
        <v>209</v>
      </c>
      <c r="AB19" s="71" t="s">
        <v>226</v>
      </c>
      <c r="AC19" s="75"/>
      <c r="AE19" s="71" t="s">
        <v>200</v>
      </c>
      <c r="AF19" s="71" t="s">
        <v>220</v>
      </c>
      <c r="AG19" s="71" t="s">
        <v>198</v>
      </c>
      <c r="AH19" s="76" t="s">
        <v>199</v>
      </c>
      <c r="AK19" s="71" t="s">
        <v>254</v>
      </c>
      <c r="AL19" s="75" t="s">
        <v>255</v>
      </c>
      <c r="AM19" s="71"/>
      <c r="AN19" s="71"/>
      <c r="AO19" s="71" t="s">
        <v>206</v>
      </c>
      <c r="AP19" s="71" t="s">
        <v>207</v>
      </c>
      <c r="AQ19" s="71"/>
      <c r="AS19" s="71"/>
      <c r="AT19" s="75" t="s">
        <v>218</v>
      </c>
      <c r="AV19" s="75" t="s">
        <v>218</v>
      </c>
      <c r="AW19" s="75" t="s">
        <v>208</v>
      </c>
      <c r="AX19" s="75" t="str">
        <f t="shared" si="0"/>
        <v>MARIA CAROLINA GOMEZ CALLE</v>
      </c>
      <c r="BP19" s="71"/>
      <c r="BQ19" s="71"/>
      <c r="BR19" s="71"/>
      <c r="BS19" s="71"/>
      <c r="BT19" s="71"/>
      <c r="BV19" s="71" t="s">
        <v>536</v>
      </c>
    </row>
    <row r="20" spans="1:74" ht="13.5" customHeight="1" x14ac:dyDescent="0.25">
      <c r="A20" s="70">
        <v>2977137</v>
      </c>
      <c r="B20" s="71" t="s">
        <v>245</v>
      </c>
      <c r="C20" s="71">
        <v>20</v>
      </c>
      <c r="D20" s="72" t="s">
        <v>96</v>
      </c>
      <c r="E20" s="73" t="s">
        <v>97</v>
      </c>
      <c r="F20" s="74">
        <f t="shared" si="2"/>
        <v>46066</v>
      </c>
      <c r="G20" s="73" t="s">
        <v>98</v>
      </c>
      <c r="H20" s="73" t="s">
        <v>246</v>
      </c>
      <c r="I20" s="71" t="s">
        <v>246</v>
      </c>
      <c r="J20" s="71" t="s">
        <v>247</v>
      </c>
      <c r="M20" s="70" t="s">
        <v>246</v>
      </c>
      <c r="N20" s="71" t="s">
        <v>223</v>
      </c>
      <c r="O20" s="71" t="s">
        <v>223</v>
      </c>
      <c r="P20" s="72" t="s">
        <v>218</v>
      </c>
      <c r="Q20" s="73" t="s">
        <v>248</v>
      </c>
      <c r="R20" s="71" t="s">
        <v>249</v>
      </c>
      <c r="S20" s="75" t="s">
        <v>202</v>
      </c>
      <c r="T20" s="75" t="s">
        <v>250</v>
      </c>
      <c r="U20" s="75" t="s">
        <v>194</v>
      </c>
      <c r="V20" s="71" t="s">
        <v>257</v>
      </c>
      <c r="W20" s="75" t="s">
        <v>209</v>
      </c>
      <c r="X20" s="71" t="s">
        <v>226</v>
      </c>
      <c r="Y20" s="75" t="s">
        <v>204</v>
      </c>
      <c r="Z20" s="71" t="s">
        <v>217</v>
      </c>
      <c r="AA20" s="71" t="s">
        <v>254</v>
      </c>
      <c r="AB20" s="71" t="s">
        <v>255</v>
      </c>
      <c r="AC20" s="75"/>
      <c r="AE20" s="71" t="s">
        <v>200</v>
      </c>
      <c r="AF20" s="71" t="s">
        <v>201</v>
      </c>
      <c r="AG20" s="71" t="s">
        <v>196</v>
      </c>
      <c r="AH20" s="76" t="s">
        <v>267</v>
      </c>
      <c r="AK20" s="71" t="s">
        <v>198</v>
      </c>
      <c r="AL20" s="75" t="s">
        <v>225</v>
      </c>
      <c r="AM20" s="71"/>
      <c r="AN20" s="71"/>
      <c r="AO20" s="71" t="s">
        <v>206</v>
      </c>
      <c r="AP20" s="71" t="s">
        <v>227</v>
      </c>
      <c r="AQ20" s="71"/>
      <c r="AS20" s="71"/>
      <c r="AT20" s="75" t="s">
        <v>218</v>
      </c>
      <c r="AV20" s="75" t="s">
        <v>218</v>
      </c>
      <c r="AW20" s="75" t="s">
        <v>208</v>
      </c>
      <c r="AX20" s="75" t="str">
        <f t="shared" si="0"/>
        <v>HECTOR ANDRES CIPAMOCHA CENTENO</v>
      </c>
      <c r="BP20" s="71"/>
      <c r="BQ20" s="71"/>
      <c r="BR20" s="71"/>
      <c r="BS20" s="71"/>
      <c r="BT20" s="71"/>
      <c r="BV20" s="71" t="s">
        <v>536</v>
      </c>
    </row>
    <row r="21" spans="1:74" ht="13.5" customHeight="1" x14ac:dyDescent="0.25">
      <c r="A21" s="70">
        <v>2977138</v>
      </c>
      <c r="B21" s="71" t="s">
        <v>245</v>
      </c>
      <c r="C21" s="71">
        <v>25</v>
      </c>
      <c r="D21" s="72" t="s">
        <v>96</v>
      </c>
      <c r="E21" s="73" t="s">
        <v>97</v>
      </c>
      <c r="F21" s="74">
        <f t="shared" si="2"/>
        <v>46066</v>
      </c>
      <c r="G21" s="73" t="s">
        <v>98</v>
      </c>
      <c r="H21" s="73" t="s">
        <v>246</v>
      </c>
      <c r="I21" s="71" t="s">
        <v>246</v>
      </c>
      <c r="J21" s="71" t="s">
        <v>247</v>
      </c>
      <c r="M21" s="70" t="s">
        <v>246</v>
      </c>
      <c r="N21" s="71" t="s">
        <v>223</v>
      </c>
      <c r="O21" s="71" t="s">
        <v>223</v>
      </c>
      <c r="P21" s="72" t="s">
        <v>218</v>
      </c>
      <c r="Q21" s="73" t="s">
        <v>248</v>
      </c>
      <c r="R21" s="71" t="s">
        <v>249</v>
      </c>
      <c r="S21" s="75" t="s">
        <v>202</v>
      </c>
      <c r="T21" s="75" t="s">
        <v>256</v>
      </c>
      <c r="U21" s="75" t="s">
        <v>194</v>
      </c>
      <c r="V21" s="71" t="s">
        <v>257</v>
      </c>
      <c r="W21" s="75" t="s">
        <v>209</v>
      </c>
      <c r="X21" s="71" t="s">
        <v>259</v>
      </c>
      <c r="Y21" s="75" t="s">
        <v>204</v>
      </c>
      <c r="Z21" s="71" t="s">
        <v>217</v>
      </c>
      <c r="AA21" s="71" t="s">
        <v>254</v>
      </c>
      <c r="AB21" s="71" t="s">
        <v>255</v>
      </c>
      <c r="AC21" s="75" t="s">
        <v>208</v>
      </c>
      <c r="AD21" s="71" t="s">
        <v>235</v>
      </c>
      <c r="AE21" s="71" t="s">
        <v>200</v>
      </c>
      <c r="AF21" s="71" t="s">
        <v>220</v>
      </c>
      <c r="AG21" s="71" t="s">
        <v>206</v>
      </c>
      <c r="AH21" s="76" t="s">
        <v>213</v>
      </c>
      <c r="AK21" s="71" t="s">
        <v>196</v>
      </c>
      <c r="AL21" s="75" t="s">
        <v>219</v>
      </c>
      <c r="AM21" s="71"/>
      <c r="AN21" s="71"/>
      <c r="AO21" s="71"/>
      <c r="AP21" s="71"/>
      <c r="AQ21" s="71"/>
      <c r="AS21" s="71"/>
      <c r="AT21" s="75" t="s">
        <v>218</v>
      </c>
      <c r="AV21" s="75" t="s">
        <v>218</v>
      </c>
      <c r="AW21" s="75" t="s">
        <v>198</v>
      </c>
      <c r="AX21" s="75" t="str">
        <f t="shared" si="0"/>
        <v>ANGELICA JANETH RODRIGUEZ ALONSO</v>
      </c>
      <c r="BP21" s="71"/>
      <c r="BQ21" s="71"/>
      <c r="BR21" s="71"/>
      <c r="BS21" s="71"/>
      <c r="BT21" s="71"/>
      <c r="BV21" s="71" t="s">
        <v>536</v>
      </c>
    </row>
    <row r="22" spans="1:74" ht="13.5" customHeight="1" x14ac:dyDescent="0.25">
      <c r="A22" s="70">
        <v>2977225</v>
      </c>
      <c r="B22" s="71" t="s">
        <v>245</v>
      </c>
      <c r="C22" s="71">
        <v>33</v>
      </c>
      <c r="D22" s="72" t="s">
        <v>99</v>
      </c>
      <c r="E22" s="73" t="s">
        <v>97</v>
      </c>
      <c r="F22" s="74">
        <f t="shared" si="2"/>
        <v>46066</v>
      </c>
      <c r="G22" s="73" t="s">
        <v>98</v>
      </c>
      <c r="H22" s="73" t="s">
        <v>260</v>
      </c>
      <c r="I22" s="71" t="s">
        <v>260</v>
      </c>
      <c r="J22" s="71" t="s">
        <v>261</v>
      </c>
      <c r="L22" s="71" t="s">
        <v>260</v>
      </c>
      <c r="M22" s="70" t="s">
        <v>262</v>
      </c>
      <c r="N22" s="71" t="s">
        <v>223</v>
      </c>
      <c r="O22" s="71" t="s">
        <v>223</v>
      </c>
      <c r="P22" s="72" t="s">
        <v>218</v>
      </c>
      <c r="Q22" s="73" t="s">
        <v>263</v>
      </c>
      <c r="R22" s="71" t="s">
        <v>249</v>
      </c>
      <c r="S22" s="75" t="s">
        <v>198</v>
      </c>
      <c r="T22" s="75" t="s">
        <v>264</v>
      </c>
      <c r="U22" s="75" t="s">
        <v>196</v>
      </c>
      <c r="V22" s="71" t="s">
        <v>252</v>
      </c>
      <c r="W22" s="75" t="s">
        <v>204</v>
      </c>
      <c r="X22" s="71" t="s">
        <v>265</v>
      </c>
      <c r="Y22" s="75"/>
      <c r="AA22" s="71" t="s">
        <v>206</v>
      </c>
      <c r="AB22" s="71" t="s">
        <v>207</v>
      </c>
      <c r="AC22" s="75" t="s">
        <v>200</v>
      </c>
      <c r="AD22" s="71" t="s">
        <v>220</v>
      </c>
      <c r="AE22" s="71" t="s">
        <v>208</v>
      </c>
      <c r="AF22" s="71" t="s">
        <v>239</v>
      </c>
      <c r="AG22" s="71" t="s">
        <v>209</v>
      </c>
      <c r="AH22" s="76" t="s">
        <v>226</v>
      </c>
      <c r="AK22" s="71" t="s">
        <v>202</v>
      </c>
      <c r="AL22" s="75" t="s">
        <v>203</v>
      </c>
      <c r="AM22" s="71"/>
      <c r="AN22" s="71"/>
      <c r="AO22" s="71" t="s">
        <v>194</v>
      </c>
      <c r="AP22" s="71" t="s">
        <v>195</v>
      </c>
      <c r="AQ22" s="71"/>
      <c r="AS22" s="71"/>
      <c r="AT22" s="75" t="s">
        <v>218</v>
      </c>
      <c r="AV22" s="75" t="s">
        <v>218</v>
      </c>
      <c r="AX22" s="75" t="str">
        <f t="shared" si="0"/>
        <v/>
      </c>
      <c r="BA22" s="75" t="s">
        <v>254</v>
      </c>
      <c r="BB22" s="75" t="str">
        <f>VLOOKUP(A22,_p8_2025,2,FALSE)</f>
        <v>CINDY YOHANA BOHORQUEZ GARZON</v>
      </c>
      <c r="BP22" s="71"/>
      <c r="BQ22" s="71"/>
      <c r="BR22" s="71"/>
      <c r="BS22" s="71"/>
      <c r="BT22" s="71"/>
      <c r="BV22" s="71" t="s">
        <v>536</v>
      </c>
    </row>
    <row r="23" spans="1:74" ht="13.5" customHeight="1" x14ac:dyDescent="0.25">
      <c r="A23" s="70">
        <v>2977226</v>
      </c>
      <c r="B23" s="71" t="s">
        <v>245</v>
      </c>
      <c r="C23" s="71">
        <v>29</v>
      </c>
      <c r="D23" s="72" t="s">
        <v>99</v>
      </c>
      <c r="E23" s="73" t="s">
        <v>97</v>
      </c>
      <c r="F23" s="74">
        <f t="shared" si="2"/>
        <v>46066</v>
      </c>
      <c r="G23" s="73" t="s">
        <v>98</v>
      </c>
      <c r="H23" s="73" t="s">
        <v>260</v>
      </c>
      <c r="I23" s="71" t="s">
        <v>260</v>
      </c>
      <c r="J23" s="71" t="s">
        <v>261</v>
      </c>
      <c r="L23" s="71" t="s">
        <v>260</v>
      </c>
      <c r="M23" s="70" t="s">
        <v>262</v>
      </c>
      <c r="N23" s="71" t="s">
        <v>223</v>
      </c>
      <c r="O23" s="71" t="s">
        <v>223</v>
      </c>
      <c r="P23" s="72" t="s">
        <v>218</v>
      </c>
      <c r="Q23" s="73" t="s">
        <v>263</v>
      </c>
      <c r="R23" s="71" t="s">
        <v>249</v>
      </c>
      <c r="S23" s="75" t="s">
        <v>198</v>
      </c>
      <c r="T23" s="75" t="s">
        <v>225</v>
      </c>
      <c r="U23" s="75" t="s">
        <v>196</v>
      </c>
      <c r="V23" s="71" t="s">
        <v>267</v>
      </c>
      <c r="W23" s="75" t="s">
        <v>204</v>
      </c>
      <c r="X23" s="71" t="s">
        <v>258</v>
      </c>
      <c r="Y23" s="75"/>
      <c r="AA23" s="71" t="s">
        <v>206</v>
      </c>
      <c r="AB23" s="71" t="s">
        <v>207</v>
      </c>
      <c r="AC23" s="75" t="s">
        <v>200</v>
      </c>
      <c r="AD23" s="71" t="s">
        <v>220</v>
      </c>
      <c r="AE23" s="71" t="s">
        <v>208</v>
      </c>
      <c r="AF23" s="71" t="s">
        <v>235</v>
      </c>
      <c r="AG23" s="71" t="s">
        <v>209</v>
      </c>
      <c r="AH23" s="76" t="s">
        <v>228</v>
      </c>
      <c r="AK23" s="71" t="s">
        <v>202</v>
      </c>
      <c r="AL23" s="75" t="s">
        <v>203</v>
      </c>
      <c r="AM23" s="71"/>
      <c r="AN23" s="71"/>
      <c r="AO23" s="71" t="s">
        <v>194</v>
      </c>
      <c r="AP23" s="71" t="s">
        <v>195</v>
      </c>
      <c r="AQ23" s="71"/>
      <c r="AS23" s="71"/>
      <c r="AT23" s="75" t="s">
        <v>218</v>
      </c>
      <c r="AV23" s="75" t="s">
        <v>218</v>
      </c>
      <c r="AX23" s="75" t="str">
        <f t="shared" si="0"/>
        <v/>
      </c>
      <c r="BA23" s="75" t="s">
        <v>254</v>
      </c>
      <c r="BB23" s="75" t="str">
        <f>VLOOKUP(A23,_p8_2025,2,FALSE)</f>
        <v>CINDY YOHANA BOHORQUEZ GARZON</v>
      </c>
      <c r="BP23" s="71"/>
      <c r="BQ23" s="71"/>
      <c r="BR23" s="71"/>
      <c r="BS23" s="71"/>
      <c r="BT23" s="71"/>
      <c r="BV23" s="71" t="s">
        <v>536</v>
      </c>
    </row>
    <row r="24" spans="1:74" ht="13.5" customHeight="1" x14ac:dyDescent="0.25">
      <c r="A24" s="70">
        <v>2977227</v>
      </c>
      <c r="B24" s="71" t="s">
        <v>245</v>
      </c>
      <c r="C24" s="71">
        <v>35</v>
      </c>
      <c r="D24" s="72" t="s">
        <v>99</v>
      </c>
      <c r="E24" s="73" t="s">
        <v>97</v>
      </c>
      <c r="F24" s="74">
        <f t="shared" si="2"/>
        <v>46066</v>
      </c>
      <c r="G24" s="73" t="s">
        <v>98</v>
      </c>
      <c r="H24" s="73" t="s">
        <v>260</v>
      </c>
      <c r="I24" s="71" t="s">
        <v>260</v>
      </c>
      <c r="J24" s="71" t="s">
        <v>261</v>
      </c>
      <c r="L24" s="71" t="s">
        <v>260</v>
      </c>
      <c r="M24" s="70" t="s">
        <v>262</v>
      </c>
      <c r="N24" s="71" t="s">
        <v>223</v>
      </c>
      <c r="O24" s="71" t="s">
        <v>223</v>
      </c>
      <c r="P24" s="72" t="s">
        <v>218</v>
      </c>
      <c r="Q24" s="73" t="s">
        <v>263</v>
      </c>
      <c r="R24" s="71" t="s">
        <v>249</v>
      </c>
      <c r="S24" s="75" t="s">
        <v>198</v>
      </c>
      <c r="T24" s="75" t="s">
        <v>225</v>
      </c>
      <c r="U24" s="75" t="s">
        <v>196</v>
      </c>
      <c r="V24" s="71" t="s">
        <v>267</v>
      </c>
      <c r="W24" s="75" t="s">
        <v>204</v>
      </c>
      <c r="X24" s="71" t="s">
        <v>221</v>
      </c>
      <c r="Y24" s="75" t="s">
        <v>206</v>
      </c>
      <c r="Z24" s="71" t="s">
        <v>207</v>
      </c>
      <c r="AA24" s="71" t="s">
        <v>202</v>
      </c>
      <c r="AB24" s="71" t="s">
        <v>216</v>
      </c>
      <c r="AC24" s="75" t="s">
        <v>200</v>
      </c>
      <c r="AD24" s="71" t="s">
        <v>220</v>
      </c>
      <c r="AE24" s="71" t="s">
        <v>208</v>
      </c>
      <c r="AF24" s="71" t="s">
        <v>235</v>
      </c>
      <c r="AG24" s="71" t="s">
        <v>209</v>
      </c>
      <c r="AH24" s="76" t="s">
        <v>228</v>
      </c>
      <c r="AK24" s="71"/>
      <c r="AL24" s="75" t="s">
        <v>218</v>
      </c>
      <c r="AM24" s="71"/>
      <c r="AN24" s="71"/>
      <c r="AO24" s="71" t="s">
        <v>194</v>
      </c>
      <c r="AP24" s="71" t="s">
        <v>195</v>
      </c>
      <c r="AQ24" s="71"/>
      <c r="AS24" s="71"/>
      <c r="AT24" s="75" t="s">
        <v>218</v>
      </c>
      <c r="AV24" s="75" t="s">
        <v>218</v>
      </c>
      <c r="AX24" s="75" t="str">
        <f t="shared" si="0"/>
        <v/>
      </c>
      <c r="BA24" s="75" t="s">
        <v>254</v>
      </c>
      <c r="BB24" s="75" t="str">
        <f>VLOOKUP(A24,_p8_2025,2,FALSE)</f>
        <v>CINDY YOHANA BOHORQUEZ GARZON</v>
      </c>
      <c r="BP24" s="71"/>
      <c r="BQ24" s="71"/>
      <c r="BR24" s="71"/>
      <c r="BS24" s="71"/>
      <c r="BT24" s="71"/>
      <c r="BV24" s="71" t="s">
        <v>536</v>
      </c>
    </row>
    <row r="25" spans="1:74" ht="13.5" customHeight="1" x14ac:dyDescent="0.25">
      <c r="A25" s="70">
        <v>2977228</v>
      </c>
      <c r="B25" s="71" t="s">
        <v>245</v>
      </c>
      <c r="C25" s="71">
        <v>34</v>
      </c>
      <c r="D25" s="72" t="s">
        <v>99</v>
      </c>
      <c r="E25" s="73" t="s">
        <v>97</v>
      </c>
      <c r="F25" s="74">
        <f t="shared" si="2"/>
        <v>46066</v>
      </c>
      <c r="G25" s="73" t="s">
        <v>98</v>
      </c>
      <c r="H25" s="73" t="s">
        <v>268</v>
      </c>
      <c r="I25" s="71" t="s">
        <v>268</v>
      </c>
      <c r="J25" s="71" t="s">
        <v>261</v>
      </c>
      <c r="M25" s="70" t="s">
        <v>268</v>
      </c>
      <c r="N25" s="71" t="s">
        <v>223</v>
      </c>
      <c r="O25" s="71" t="s">
        <v>223</v>
      </c>
      <c r="P25" s="72" t="s">
        <v>218</v>
      </c>
      <c r="Q25" s="73" t="s">
        <v>263</v>
      </c>
      <c r="R25" s="71" t="s">
        <v>249</v>
      </c>
      <c r="S25" s="75" t="s">
        <v>198</v>
      </c>
      <c r="T25" s="75" t="s">
        <v>264</v>
      </c>
      <c r="U25" s="75" t="s">
        <v>196</v>
      </c>
      <c r="V25" s="71" t="s">
        <v>267</v>
      </c>
      <c r="W25" s="75" t="s">
        <v>204</v>
      </c>
      <c r="X25" s="71" t="s">
        <v>269</v>
      </c>
      <c r="Y25" s="75" t="s">
        <v>206</v>
      </c>
      <c r="Z25" s="71" t="s">
        <v>270</v>
      </c>
      <c r="AA25" s="71" t="s">
        <v>202</v>
      </c>
      <c r="AB25" s="71" t="s">
        <v>216</v>
      </c>
      <c r="AC25" s="75" t="s">
        <v>200</v>
      </c>
      <c r="AD25" s="71" t="s">
        <v>201</v>
      </c>
      <c r="AE25" s="71" t="s">
        <v>208</v>
      </c>
      <c r="AF25" s="71" t="s">
        <v>239</v>
      </c>
      <c r="AG25" s="71" t="s">
        <v>209</v>
      </c>
      <c r="AH25" s="76" t="s">
        <v>228</v>
      </c>
      <c r="AK25" s="71"/>
      <c r="AL25" s="75" t="s">
        <v>218</v>
      </c>
      <c r="AM25" s="71"/>
      <c r="AN25" s="71"/>
      <c r="AO25" s="71"/>
      <c r="AP25" s="71"/>
      <c r="AQ25" s="71"/>
      <c r="AS25" s="71"/>
      <c r="AV25" s="75" t="s">
        <v>218</v>
      </c>
      <c r="AW25" s="75" t="s">
        <v>194</v>
      </c>
      <c r="AX25" s="75" t="str">
        <f t="shared" si="0"/>
        <v>CAMILO ERNESTO CALDERON GALINDO</v>
      </c>
      <c r="BA25" s="75" t="s">
        <v>254</v>
      </c>
      <c r="BB25" s="75" t="str">
        <f>VLOOKUP(A25,_p8_2025,2,FALSE)</f>
        <v>CINDY YOHANA BOHORQUEZ GARZON</v>
      </c>
      <c r="BP25" s="71"/>
      <c r="BQ25" s="71"/>
      <c r="BR25" s="71"/>
      <c r="BS25" s="71"/>
      <c r="BT25" s="71"/>
      <c r="BV25" s="71" t="s">
        <v>536</v>
      </c>
    </row>
    <row r="26" spans="1:74" ht="13.5" customHeight="1" x14ac:dyDescent="0.25">
      <c r="A26" s="70">
        <v>2977229</v>
      </c>
      <c r="B26" s="71" t="s">
        <v>245</v>
      </c>
      <c r="C26" s="71">
        <v>31</v>
      </c>
      <c r="D26" s="72" t="s">
        <v>99</v>
      </c>
      <c r="E26" s="73" t="s">
        <v>97</v>
      </c>
      <c r="F26" s="74">
        <f t="shared" si="2"/>
        <v>46066</v>
      </c>
      <c r="G26" s="73" t="s">
        <v>98</v>
      </c>
      <c r="H26" s="73" t="s">
        <v>268</v>
      </c>
      <c r="I26" s="71" t="s">
        <v>268</v>
      </c>
      <c r="J26" s="71" t="s">
        <v>261</v>
      </c>
      <c r="M26" s="70" t="s">
        <v>268</v>
      </c>
      <c r="N26" s="71" t="s">
        <v>233</v>
      </c>
      <c r="O26" s="71" t="s">
        <v>233</v>
      </c>
      <c r="P26" s="72" t="s">
        <v>218</v>
      </c>
      <c r="Q26" s="73" t="s">
        <v>263</v>
      </c>
      <c r="R26" s="71" t="s">
        <v>249</v>
      </c>
      <c r="S26" s="75" t="s">
        <v>198</v>
      </c>
      <c r="T26" s="75" t="s">
        <v>225</v>
      </c>
      <c r="U26" s="75" t="s">
        <v>196</v>
      </c>
      <c r="V26" s="71" t="s">
        <v>252</v>
      </c>
      <c r="W26" s="75" t="s">
        <v>204</v>
      </c>
      <c r="X26" s="71" t="s">
        <v>217</v>
      </c>
      <c r="Y26" s="75" t="s">
        <v>206</v>
      </c>
      <c r="Z26" s="71" t="s">
        <v>207</v>
      </c>
      <c r="AA26" s="71" t="s">
        <v>202</v>
      </c>
      <c r="AB26" s="71" t="s">
        <v>216</v>
      </c>
      <c r="AC26" s="75"/>
      <c r="AE26" s="71" t="s">
        <v>200</v>
      </c>
      <c r="AF26" s="71" t="s">
        <v>220</v>
      </c>
      <c r="AG26" s="71" t="s">
        <v>209</v>
      </c>
      <c r="AH26" s="76" t="s">
        <v>228</v>
      </c>
      <c r="AK26" s="71" t="s">
        <v>208</v>
      </c>
      <c r="AL26" s="75" t="s">
        <v>239</v>
      </c>
      <c r="AM26" s="71"/>
      <c r="AN26" s="71"/>
      <c r="AO26" s="71"/>
      <c r="AP26" s="71"/>
      <c r="AQ26" s="71"/>
      <c r="AS26" s="71"/>
      <c r="AV26" s="75" t="s">
        <v>218</v>
      </c>
      <c r="AW26" s="75" t="s">
        <v>194</v>
      </c>
      <c r="AX26" s="75" t="str">
        <f t="shared" si="0"/>
        <v>CAMILO ERNESTO CALDERON GALINDO</v>
      </c>
      <c r="BA26" s="75" t="s">
        <v>254</v>
      </c>
      <c r="BB26" s="75" t="str">
        <f>VLOOKUP(A26,_p8_2025,2,FALSE)</f>
        <v>CINDY YOHANA BOHORQUEZ GARZON</v>
      </c>
      <c r="BP26" s="71"/>
      <c r="BQ26" s="71"/>
      <c r="BR26" s="71"/>
      <c r="BS26" s="71"/>
      <c r="BT26" s="71"/>
      <c r="BU26" s="71">
        <v>12</v>
      </c>
      <c r="BV26" s="71" t="s">
        <v>534</v>
      </c>
    </row>
    <row r="27" spans="1:74" ht="13.5" customHeight="1" x14ac:dyDescent="0.25">
      <c r="A27" s="70">
        <v>2977230</v>
      </c>
      <c r="B27" s="71" t="s">
        <v>245</v>
      </c>
      <c r="C27" s="71">
        <v>23</v>
      </c>
      <c r="D27" s="72" t="s">
        <v>99</v>
      </c>
      <c r="E27" s="73" t="s">
        <v>97</v>
      </c>
      <c r="F27" s="74">
        <f t="shared" si="2"/>
        <v>46066</v>
      </c>
      <c r="G27" s="73" t="s">
        <v>98</v>
      </c>
      <c r="H27" s="73" t="s">
        <v>268</v>
      </c>
      <c r="I27" s="71" t="s">
        <v>268</v>
      </c>
      <c r="J27" s="71" t="s">
        <v>261</v>
      </c>
      <c r="M27" s="70" t="s">
        <v>268</v>
      </c>
      <c r="N27" s="71" t="s">
        <v>233</v>
      </c>
      <c r="O27" s="71" t="s">
        <v>233</v>
      </c>
      <c r="P27" s="72" t="s">
        <v>218</v>
      </c>
      <c r="Q27" s="73" t="s">
        <v>263</v>
      </c>
      <c r="R27" s="71" t="s">
        <v>249</v>
      </c>
      <c r="S27" s="75" t="s">
        <v>198</v>
      </c>
      <c r="T27" s="75" t="s">
        <v>225</v>
      </c>
      <c r="U27" s="75" t="s">
        <v>202</v>
      </c>
      <c r="V27" s="71" t="s">
        <v>256</v>
      </c>
      <c r="W27" s="75" t="s">
        <v>204</v>
      </c>
      <c r="X27" s="71" t="s">
        <v>217</v>
      </c>
      <c r="Y27" s="75"/>
      <c r="AA27" s="71" t="s">
        <v>254</v>
      </c>
      <c r="AB27" s="71" t="s">
        <v>255</v>
      </c>
      <c r="AC27" s="75" t="s">
        <v>206</v>
      </c>
      <c r="AD27" s="71" t="s">
        <v>227</v>
      </c>
      <c r="AE27" s="71" t="s">
        <v>200</v>
      </c>
      <c r="AF27" s="71" t="s">
        <v>201</v>
      </c>
      <c r="AG27" s="71" t="s">
        <v>209</v>
      </c>
      <c r="AH27" s="76" t="s">
        <v>228</v>
      </c>
      <c r="AK27" s="71" t="s">
        <v>196</v>
      </c>
      <c r="AL27" s="75" t="s">
        <v>219</v>
      </c>
      <c r="AM27" s="71"/>
      <c r="AN27" s="71"/>
      <c r="AO27" s="71" t="s">
        <v>208</v>
      </c>
      <c r="AP27" s="71" t="s">
        <v>235</v>
      </c>
      <c r="AQ27" s="71"/>
      <c r="AS27" s="71"/>
      <c r="AT27" s="75" t="s">
        <v>218</v>
      </c>
      <c r="AV27" s="75" t="s">
        <v>218</v>
      </c>
      <c r="AW27" s="75" t="s">
        <v>194</v>
      </c>
      <c r="AX27" s="75" t="str">
        <f t="shared" si="0"/>
        <v>CAMILO ERNESTO CALDERON GALINDO</v>
      </c>
      <c r="BP27" s="71"/>
      <c r="BQ27" s="71"/>
      <c r="BR27" s="71"/>
      <c r="BS27" s="71"/>
      <c r="BT27" s="71"/>
      <c r="BU27" s="71">
        <v>12</v>
      </c>
      <c r="BV27" s="71" t="s">
        <v>534</v>
      </c>
    </row>
    <row r="28" spans="1:74" ht="13.5" customHeight="1" x14ac:dyDescent="0.25">
      <c r="A28" s="70">
        <v>2977457</v>
      </c>
      <c r="B28" s="71" t="s">
        <v>245</v>
      </c>
      <c r="C28" s="71">
        <v>27</v>
      </c>
      <c r="D28" s="72" t="s">
        <v>271</v>
      </c>
      <c r="E28" s="73" t="s">
        <v>97</v>
      </c>
      <c r="F28" s="74">
        <f t="shared" si="2"/>
        <v>46066</v>
      </c>
      <c r="G28" s="73" t="s">
        <v>98</v>
      </c>
      <c r="H28" s="73" t="s">
        <v>272</v>
      </c>
      <c r="I28" s="71" t="s">
        <v>272</v>
      </c>
      <c r="J28" s="71" t="s">
        <v>213</v>
      </c>
      <c r="M28" s="70" t="s">
        <v>273</v>
      </c>
      <c r="N28" s="71" t="s">
        <v>233</v>
      </c>
      <c r="O28" s="71" t="s">
        <v>233</v>
      </c>
      <c r="P28" s="72" t="s">
        <v>218</v>
      </c>
      <c r="Q28" s="73" t="s">
        <v>274</v>
      </c>
      <c r="R28" s="71" t="s">
        <v>249</v>
      </c>
      <c r="S28" s="75" t="s">
        <v>204</v>
      </c>
      <c r="T28" s="75" t="s">
        <v>275</v>
      </c>
      <c r="U28" s="75" t="s">
        <v>202</v>
      </c>
      <c r="V28" s="71" t="s">
        <v>250</v>
      </c>
      <c r="W28" s="75" t="s">
        <v>209</v>
      </c>
      <c r="X28" s="71" t="s">
        <v>259</v>
      </c>
      <c r="Y28" s="75" t="s">
        <v>206</v>
      </c>
      <c r="Z28" s="71" t="s">
        <v>270</v>
      </c>
      <c r="AA28" s="71" t="s">
        <v>254</v>
      </c>
      <c r="AB28" s="71" t="s">
        <v>276</v>
      </c>
      <c r="AC28" s="75" t="s">
        <v>200</v>
      </c>
      <c r="AD28" s="71" t="s">
        <v>220</v>
      </c>
      <c r="AE28" s="71" t="s">
        <v>194</v>
      </c>
      <c r="AF28" s="71" t="s">
        <v>277</v>
      </c>
      <c r="AG28" s="71" t="s">
        <v>198</v>
      </c>
      <c r="AH28" s="76" t="s">
        <v>253</v>
      </c>
      <c r="AK28" s="71" t="s">
        <v>208</v>
      </c>
      <c r="AL28" s="75" t="s">
        <v>278</v>
      </c>
      <c r="AM28" s="71"/>
      <c r="AN28" s="71"/>
      <c r="AO28" s="71"/>
      <c r="AP28" s="71"/>
      <c r="AQ28" s="71"/>
      <c r="AS28" s="71"/>
      <c r="AT28" s="75" t="s">
        <v>218</v>
      </c>
      <c r="AV28" s="75" t="s">
        <v>218</v>
      </c>
      <c r="AX28" s="75" t="str">
        <f t="shared" si="0"/>
        <v/>
      </c>
      <c r="BA28" s="75" t="s">
        <v>196</v>
      </c>
      <c r="BB28" s="75" t="str">
        <f>VLOOKUP(A28,_p8_2025,2,FALSE)</f>
        <v>JORGE ARMANDO PIEDRAHITA</v>
      </c>
      <c r="BP28" s="71"/>
      <c r="BQ28" s="71"/>
      <c r="BR28" s="71"/>
      <c r="BS28" s="71"/>
      <c r="BT28" s="71"/>
      <c r="BU28" s="71">
        <v>12</v>
      </c>
      <c r="BV28" s="71" t="s">
        <v>534</v>
      </c>
    </row>
    <row r="29" spans="1:74" ht="13.5" customHeight="1" x14ac:dyDescent="0.25">
      <c r="A29" s="70">
        <v>2977458</v>
      </c>
      <c r="B29" s="71" t="s">
        <v>245</v>
      </c>
      <c r="C29" s="71">
        <v>36</v>
      </c>
      <c r="D29" s="72" t="s">
        <v>271</v>
      </c>
      <c r="E29" s="73" t="s">
        <v>97</v>
      </c>
      <c r="F29" s="74">
        <f t="shared" si="2"/>
        <v>46066</v>
      </c>
      <c r="G29" s="73" t="s">
        <v>98</v>
      </c>
      <c r="H29" s="73" t="s">
        <v>279</v>
      </c>
      <c r="I29" s="71" t="s">
        <v>279</v>
      </c>
      <c r="J29" s="71" t="s">
        <v>213</v>
      </c>
      <c r="M29" s="70" t="s">
        <v>279</v>
      </c>
      <c r="N29" s="71" t="s">
        <v>233</v>
      </c>
      <c r="O29" s="71" t="s">
        <v>233</v>
      </c>
      <c r="P29" s="72" t="s">
        <v>218</v>
      </c>
      <c r="Q29" s="73" t="s">
        <v>274</v>
      </c>
      <c r="R29" s="71" t="s">
        <v>249</v>
      </c>
      <c r="S29" s="75" t="s">
        <v>204</v>
      </c>
      <c r="T29" s="75" t="s">
        <v>275</v>
      </c>
      <c r="U29" s="75" t="s">
        <v>202</v>
      </c>
      <c r="V29" s="71" t="s">
        <v>250</v>
      </c>
      <c r="W29" s="75" t="s">
        <v>209</v>
      </c>
      <c r="X29" s="71" t="s">
        <v>280</v>
      </c>
      <c r="Y29" s="75" t="s">
        <v>206</v>
      </c>
      <c r="Z29" s="71" t="s">
        <v>270</v>
      </c>
      <c r="AA29" s="71" t="s">
        <v>208</v>
      </c>
      <c r="AB29" s="71" t="s">
        <v>235</v>
      </c>
      <c r="AC29" s="75" t="s">
        <v>200</v>
      </c>
      <c r="AD29" s="71" t="s">
        <v>201</v>
      </c>
      <c r="AE29" s="71" t="s">
        <v>198</v>
      </c>
      <c r="AF29" s="71" t="s">
        <v>225</v>
      </c>
      <c r="AG29" s="71" t="s">
        <v>194</v>
      </c>
      <c r="AH29" s="76" t="s">
        <v>195</v>
      </c>
      <c r="AK29" s="71" t="s">
        <v>196</v>
      </c>
      <c r="AL29" s="75" t="s">
        <v>281</v>
      </c>
      <c r="AM29" s="71"/>
      <c r="AN29" s="71"/>
      <c r="AO29" s="71"/>
      <c r="AP29" s="71"/>
      <c r="AQ29" s="71"/>
      <c r="AS29" s="71" t="s">
        <v>254</v>
      </c>
      <c r="AT29" s="75" t="s">
        <v>255</v>
      </c>
      <c r="AV29" s="75" t="s">
        <v>218</v>
      </c>
      <c r="AX29" s="75" t="str">
        <f t="shared" si="0"/>
        <v/>
      </c>
      <c r="BP29" s="71"/>
      <c r="BQ29" s="71"/>
      <c r="BR29" s="71"/>
      <c r="BS29" s="71"/>
      <c r="BT29" s="71"/>
      <c r="BU29" s="71">
        <v>12</v>
      </c>
      <c r="BV29" s="71" t="s">
        <v>534</v>
      </c>
    </row>
    <row r="30" spans="1:74" ht="13.5" customHeight="1" x14ac:dyDescent="0.25">
      <c r="A30" s="70">
        <v>2977459</v>
      </c>
      <c r="B30" s="71" t="s">
        <v>245</v>
      </c>
      <c r="C30" s="71">
        <v>35</v>
      </c>
      <c r="D30" s="72" t="s">
        <v>271</v>
      </c>
      <c r="E30" s="73" t="s">
        <v>97</v>
      </c>
      <c r="F30" s="74">
        <f t="shared" si="2"/>
        <v>46066</v>
      </c>
      <c r="G30" s="73" t="s">
        <v>98</v>
      </c>
      <c r="H30" s="73" t="s">
        <v>279</v>
      </c>
      <c r="I30" s="71" t="s">
        <v>279</v>
      </c>
      <c r="J30" s="71" t="s">
        <v>213</v>
      </c>
      <c r="M30" s="70" t="s">
        <v>279</v>
      </c>
      <c r="N30" s="71" t="s">
        <v>233</v>
      </c>
      <c r="O30" s="71" t="s">
        <v>233</v>
      </c>
      <c r="P30" s="72" t="s">
        <v>218</v>
      </c>
      <c r="Q30" s="73" t="s">
        <v>274</v>
      </c>
      <c r="R30" s="71" t="s">
        <v>249</v>
      </c>
      <c r="S30" s="75" t="s">
        <v>204</v>
      </c>
      <c r="T30" s="75" t="s">
        <v>275</v>
      </c>
      <c r="U30" s="75" t="s">
        <v>202</v>
      </c>
      <c r="V30" s="71" t="s">
        <v>256</v>
      </c>
      <c r="W30" s="75" t="s">
        <v>209</v>
      </c>
      <c r="X30" s="71" t="s">
        <v>236</v>
      </c>
      <c r="Y30" s="75" t="s">
        <v>206</v>
      </c>
      <c r="Z30" s="71" t="s">
        <v>270</v>
      </c>
      <c r="AA30" s="71" t="s">
        <v>208</v>
      </c>
      <c r="AB30" s="71" t="s">
        <v>235</v>
      </c>
      <c r="AC30" s="75" t="s">
        <v>200</v>
      </c>
      <c r="AD30" s="71" t="s">
        <v>201</v>
      </c>
      <c r="AE30" s="71" t="s">
        <v>198</v>
      </c>
      <c r="AF30" s="71" t="s">
        <v>199</v>
      </c>
      <c r="AG30" s="71" t="s">
        <v>194</v>
      </c>
      <c r="AH30" s="76" t="s">
        <v>195</v>
      </c>
      <c r="AK30" s="71" t="s">
        <v>196</v>
      </c>
      <c r="AL30" s="75" t="s">
        <v>281</v>
      </c>
      <c r="AM30" s="71"/>
      <c r="AN30" s="71"/>
      <c r="AO30" s="71"/>
      <c r="AP30" s="71"/>
      <c r="AQ30" s="71"/>
      <c r="AS30" s="71" t="s">
        <v>254</v>
      </c>
      <c r="AT30" s="75" t="s">
        <v>255</v>
      </c>
      <c r="AV30" s="75" t="s">
        <v>218</v>
      </c>
      <c r="AX30" s="75" t="str">
        <f t="shared" si="0"/>
        <v/>
      </c>
      <c r="BP30" s="71"/>
      <c r="BQ30" s="71"/>
      <c r="BR30" s="71"/>
      <c r="BS30" s="71"/>
      <c r="BT30" s="71"/>
      <c r="BU30" s="71">
        <v>12</v>
      </c>
      <c r="BV30" s="71" t="s">
        <v>534</v>
      </c>
    </row>
    <row r="31" spans="1:74" ht="13.5" customHeight="1" x14ac:dyDescent="0.25">
      <c r="A31" s="70">
        <v>2977460</v>
      </c>
      <c r="B31" s="71" t="s">
        <v>245</v>
      </c>
      <c r="C31" s="71">
        <v>37</v>
      </c>
      <c r="D31" s="72" t="s">
        <v>271</v>
      </c>
      <c r="E31" s="73" t="s">
        <v>97</v>
      </c>
      <c r="F31" s="74">
        <f t="shared" si="2"/>
        <v>46066</v>
      </c>
      <c r="G31" s="73" t="s">
        <v>98</v>
      </c>
      <c r="H31" s="73" t="s">
        <v>279</v>
      </c>
      <c r="I31" s="71" t="s">
        <v>279</v>
      </c>
      <c r="J31" s="71" t="s">
        <v>213</v>
      </c>
      <c r="M31" s="70" t="s">
        <v>279</v>
      </c>
      <c r="N31" s="71" t="s">
        <v>233</v>
      </c>
      <c r="O31" s="71" t="s">
        <v>233</v>
      </c>
      <c r="P31" s="72" t="s">
        <v>218</v>
      </c>
      <c r="Q31" s="73" t="s">
        <v>274</v>
      </c>
      <c r="R31" s="71" t="s">
        <v>249</v>
      </c>
      <c r="S31" s="75" t="s">
        <v>204</v>
      </c>
      <c r="T31" s="75" t="s">
        <v>275</v>
      </c>
      <c r="U31" s="75" t="s">
        <v>202</v>
      </c>
      <c r="V31" s="71" t="s">
        <v>250</v>
      </c>
      <c r="W31" s="75" t="s">
        <v>209</v>
      </c>
      <c r="X31" s="71" t="s">
        <v>226</v>
      </c>
      <c r="Y31" s="75"/>
      <c r="AA31" s="71" t="s">
        <v>206</v>
      </c>
      <c r="AB31" s="71" t="s">
        <v>270</v>
      </c>
      <c r="AC31" s="75" t="s">
        <v>200</v>
      </c>
      <c r="AD31" s="71" t="s">
        <v>220</v>
      </c>
      <c r="AE31" s="71" t="s">
        <v>198</v>
      </c>
      <c r="AF31" s="71" t="s">
        <v>199</v>
      </c>
      <c r="AG31" s="71" t="s">
        <v>254</v>
      </c>
      <c r="AH31" s="76" t="s">
        <v>276</v>
      </c>
      <c r="AK31" s="71" t="s">
        <v>208</v>
      </c>
      <c r="AL31" s="75" t="s">
        <v>239</v>
      </c>
      <c r="AM31" s="71"/>
      <c r="AN31" s="71"/>
      <c r="AO31" s="71"/>
      <c r="AP31" s="71"/>
      <c r="AQ31" s="71"/>
      <c r="AS31" s="71"/>
      <c r="AT31" s="75" t="s">
        <v>218</v>
      </c>
      <c r="AV31" s="75" t="s">
        <v>218</v>
      </c>
      <c r="AW31" s="75" t="s">
        <v>194</v>
      </c>
      <c r="AX31" s="75" t="str">
        <f t="shared" si="0"/>
        <v>CAMILO ERNESTO CALDERON GALINDO</v>
      </c>
      <c r="BA31" s="75" t="s">
        <v>196</v>
      </c>
      <c r="BB31" s="75" t="str">
        <f>VLOOKUP(A31,_p8_2025,2,FALSE)</f>
        <v>CESAR AUGUSTO BERMEO</v>
      </c>
      <c r="BP31" s="71"/>
      <c r="BQ31" s="71"/>
      <c r="BR31" s="71"/>
      <c r="BS31" s="71"/>
      <c r="BT31" s="71"/>
      <c r="BU31" s="71">
        <v>12</v>
      </c>
      <c r="BV31" s="71" t="s">
        <v>534</v>
      </c>
    </row>
    <row r="32" spans="1:74" ht="13.5" customHeight="1" x14ac:dyDescent="0.25">
      <c r="A32" s="70">
        <v>2977461</v>
      </c>
      <c r="B32" s="71" t="s">
        <v>245</v>
      </c>
      <c r="C32" s="71">
        <v>38</v>
      </c>
      <c r="D32" s="72" t="s">
        <v>271</v>
      </c>
      <c r="E32" s="73" t="s">
        <v>97</v>
      </c>
      <c r="F32" s="74">
        <f t="shared" si="2"/>
        <v>46066</v>
      </c>
      <c r="G32" s="73" t="s">
        <v>98</v>
      </c>
      <c r="H32" s="73" t="s">
        <v>279</v>
      </c>
      <c r="I32" s="71" t="s">
        <v>279</v>
      </c>
      <c r="J32" s="71" t="s">
        <v>213</v>
      </c>
      <c r="M32" s="70" t="s">
        <v>279</v>
      </c>
      <c r="N32" s="71" t="s">
        <v>233</v>
      </c>
      <c r="O32" s="71" t="s">
        <v>233</v>
      </c>
      <c r="P32" s="72" t="s">
        <v>218</v>
      </c>
      <c r="Q32" s="73" t="s">
        <v>274</v>
      </c>
      <c r="R32" s="71" t="s">
        <v>249</v>
      </c>
      <c r="S32" s="75" t="s">
        <v>204</v>
      </c>
      <c r="T32" s="75" t="s">
        <v>275</v>
      </c>
      <c r="U32" s="75" t="s">
        <v>202</v>
      </c>
      <c r="V32" s="71" t="s">
        <v>216</v>
      </c>
      <c r="W32" s="75" t="s">
        <v>209</v>
      </c>
      <c r="X32" s="71" t="s">
        <v>236</v>
      </c>
      <c r="Y32" s="75" t="s">
        <v>206</v>
      </c>
      <c r="Z32" s="71" t="s">
        <v>213</v>
      </c>
      <c r="AA32" s="71" t="s">
        <v>208</v>
      </c>
      <c r="AB32" s="71" t="s">
        <v>239</v>
      </c>
      <c r="AC32" s="75" t="s">
        <v>200</v>
      </c>
      <c r="AD32" s="71" t="s">
        <v>201</v>
      </c>
      <c r="AE32" s="71" t="s">
        <v>198</v>
      </c>
      <c r="AF32" s="71" t="s">
        <v>199</v>
      </c>
      <c r="AG32" s="71" t="s">
        <v>254</v>
      </c>
      <c r="AH32" s="76" t="s">
        <v>276</v>
      </c>
      <c r="AK32" s="71" t="s">
        <v>196</v>
      </c>
      <c r="AL32" s="75" t="s">
        <v>219</v>
      </c>
      <c r="AM32" s="71"/>
      <c r="AN32" s="71"/>
      <c r="AO32" s="71" t="s">
        <v>194</v>
      </c>
      <c r="AP32" s="71" t="s">
        <v>195</v>
      </c>
      <c r="AQ32" s="71"/>
      <c r="AS32" s="71"/>
      <c r="AT32" s="75" t="s">
        <v>218</v>
      </c>
      <c r="AV32" s="75" t="s">
        <v>218</v>
      </c>
      <c r="AX32" s="75" t="str">
        <f t="shared" si="0"/>
        <v/>
      </c>
      <c r="BP32" s="71"/>
      <c r="BQ32" s="71"/>
      <c r="BR32" s="71"/>
      <c r="BS32" s="71"/>
      <c r="BT32" s="71"/>
      <c r="BU32" s="71">
        <v>12</v>
      </c>
      <c r="BV32" s="71" t="s">
        <v>534</v>
      </c>
    </row>
    <row r="33" spans="1:74" ht="13.5" customHeight="1" x14ac:dyDescent="0.25">
      <c r="A33" s="70">
        <v>2977462</v>
      </c>
      <c r="B33" s="71" t="s">
        <v>245</v>
      </c>
      <c r="C33" s="71">
        <v>32</v>
      </c>
      <c r="D33" s="72" t="s">
        <v>271</v>
      </c>
      <c r="E33" s="73" t="s">
        <v>97</v>
      </c>
      <c r="F33" s="74">
        <f t="shared" si="2"/>
        <v>46066</v>
      </c>
      <c r="G33" s="73" t="s">
        <v>98</v>
      </c>
      <c r="H33" s="73" t="s">
        <v>282</v>
      </c>
      <c r="I33" s="71" t="s">
        <v>282</v>
      </c>
      <c r="J33" s="71" t="s">
        <v>213</v>
      </c>
      <c r="M33" s="70" t="s">
        <v>283</v>
      </c>
      <c r="N33" s="71" t="s">
        <v>233</v>
      </c>
      <c r="O33" s="71" t="s">
        <v>233</v>
      </c>
      <c r="P33" s="72" t="s">
        <v>218</v>
      </c>
      <c r="Q33" s="73" t="s">
        <v>274</v>
      </c>
      <c r="R33" s="71" t="s">
        <v>249</v>
      </c>
      <c r="S33" s="75" t="s">
        <v>204</v>
      </c>
      <c r="T33" s="75" t="s">
        <v>275</v>
      </c>
      <c r="U33" s="75" t="s">
        <v>202</v>
      </c>
      <c r="V33" s="71" t="s">
        <v>256</v>
      </c>
      <c r="W33" s="75" t="s">
        <v>209</v>
      </c>
      <c r="X33" s="71" t="s">
        <v>259</v>
      </c>
      <c r="Y33" s="75" t="s">
        <v>206</v>
      </c>
      <c r="Z33" s="71" t="s">
        <v>207</v>
      </c>
      <c r="AA33" s="71" t="s">
        <v>196</v>
      </c>
      <c r="AB33" s="71" t="s">
        <v>267</v>
      </c>
      <c r="AC33" s="75" t="s">
        <v>200</v>
      </c>
      <c r="AD33" s="71" t="s">
        <v>201</v>
      </c>
      <c r="AE33" s="71" t="s">
        <v>198</v>
      </c>
      <c r="AF33" s="71" t="s">
        <v>225</v>
      </c>
      <c r="AG33" s="71" t="s">
        <v>254</v>
      </c>
      <c r="AH33" s="76" t="s">
        <v>255</v>
      </c>
      <c r="AK33" s="71"/>
      <c r="AL33" s="75" t="s">
        <v>218</v>
      </c>
      <c r="AM33" s="71"/>
      <c r="AN33" s="71"/>
      <c r="AO33" s="71" t="s">
        <v>194</v>
      </c>
      <c r="AP33" s="71" t="s">
        <v>195</v>
      </c>
      <c r="AQ33" s="71"/>
      <c r="AS33" s="71"/>
      <c r="AT33" s="75" t="s">
        <v>218</v>
      </c>
      <c r="AV33" s="75" t="s">
        <v>218</v>
      </c>
      <c r="AW33" s="75" t="s">
        <v>208</v>
      </c>
      <c r="AX33" s="75" t="str">
        <f t="shared" si="0"/>
        <v>HECTOR ANDRES CIPAMOCHA CENTENO</v>
      </c>
      <c r="BP33" s="71"/>
      <c r="BQ33" s="71"/>
      <c r="BR33" s="71"/>
      <c r="BS33" s="71"/>
      <c r="BT33" s="71"/>
      <c r="BU33" s="71">
        <v>12</v>
      </c>
      <c r="BV33" s="71" t="s">
        <v>534</v>
      </c>
    </row>
    <row r="34" spans="1:74" ht="13.5" customHeight="1" x14ac:dyDescent="0.25">
      <c r="A34" s="70">
        <v>2977463</v>
      </c>
      <c r="B34" s="71" t="s">
        <v>245</v>
      </c>
      <c r="C34" s="71">
        <v>29</v>
      </c>
      <c r="D34" s="72" t="s">
        <v>271</v>
      </c>
      <c r="E34" s="73" t="s">
        <v>97</v>
      </c>
      <c r="F34" s="74">
        <f t="shared" si="2"/>
        <v>46066</v>
      </c>
      <c r="G34" s="73" t="s">
        <v>98</v>
      </c>
      <c r="H34" s="73" t="s">
        <v>282</v>
      </c>
      <c r="I34" s="71" t="s">
        <v>282</v>
      </c>
      <c r="J34" s="71" t="s">
        <v>213</v>
      </c>
      <c r="M34" s="70" t="s">
        <v>283</v>
      </c>
      <c r="N34" s="71" t="s">
        <v>233</v>
      </c>
      <c r="O34" s="71" t="s">
        <v>233</v>
      </c>
      <c r="P34" s="72" t="s">
        <v>218</v>
      </c>
      <c r="Q34" s="73" t="s">
        <v>274</v>
      </c>
      <c r="R34" s="71" t="s">
        <v>249</v>
      </c>
      <c r="S34" s="75" t="s">
        <v>204</v>
      </c>
      <c r="T34" s="75" t="s">
        <v>275</v>
      </c>
      <c r="U34" s="75" t="s">
        <v>202</v>
      </c>
      <c r="V34" s="71" t="s">
        <v>216</v>
      </c>
      <c r="W34" s="75" t="s">
        <v>209</v>
      </c>
      <c r="X34" s="71" t="s">
        <v>280</v>
      </c>
      <c r="Y34" s="75"/>
      <c r="AA34" s="71" t="s">
        <v>206</v>
      </c>
      <c r="AB34" s="71" t="s">
        <v>207</v>
      </c>
      <c r="AC34" s="75" t="s">
        <v>200</v>
      </c>
      <c r="AD34" s="71" t="s">
        <v>220</v>
      </c>
      <c r="AE34" s="71" t="s">
        <v>198</v>
      </c>
      <c r="AF34" s="71" t="s">
        <v>225</v>
      </c>
      <c r="AG34" s="71" t="s">
        <v>254</v>
      </c>
      <c r="AH34" s="76" t="s">
        <v>276</v>
      </c>
      <c r="AK34" s="71" t="s">
        <v>208</v>
      </c>
      <c r="AL34" s="75" t="s">
        <v>239</v>
      </c>
      <c r="AM34" s="71"/>
      <c r="AN34" s="71"/>
      <c r="AO34" s="71"/>
      <c r="AP34" s="71"/>
      <c r="AQ34" s="71"/>
      <c r="AS34" s="71"/>
      <c r="AT34" s="75" t="s">
        <v>218</v>
      </c>
      <c r="AV34" s="75" t="s">
        <v>218</v>
      </c>
      <c r="AW34" s="75" t="s">
        <v>194</v>
      </c>
      <c r="AX34" s="75" t="str">
        <f t="shared" si="0"/>
        <v>CAMILO ERNESTO CALDERON GALINDO</v>
      </c>
      <c r="BA34" s="75" t="s">
        <v>196</v>
      </c>
      <c r="BB34" s="75" t="str">
        <f>VLOOKUP(A34,_p8_2025,2,FALSE)</f>
        <v>JORGE ARMANDO PIEDRAHITA</v>
      </c>
      <c r="BP34" s="71"/>
      <c r="BQ34" s="71"/>
      <c r="BR34" s="71"/>
      <c r="BS34" s="71"/>
      <c r="BT34" s="71"/>
      <c r="BU34" s="71">
        <v>12</v>
      </c>
      <c r="BV34" s="71" t="s">
        <v>534</v>
      </c>
    </row>
    <row r="35" spans="1:74" ht="13.5" customHeight="1" x14ac:dyDescent="0.25">
      <c r="A35" s="70">
        <v>2977464</v>
      </c>
      <c r="B35" s="71" t="s">
        <v>245</v>
      </c>
      <c r="C35" s="71">
        <v>23</v>
      </c>
      <c r="D35" s="72" t="s">
        <v>271</v>
      </c>
      <c r="E35" s="73" t="s">
        <v>97</v>
      </c>
      <c r="F35" s="74">
        <f t="shared" si="2"/>
        <v>46066</v>
      </c>
      <c r="G35" s="73" t="s">
        <v>98</v>
      </c>
      <c r="H35" s="73" t="s">
        <v>282</v>
      </c>
      <c r="I35" s="71" t="s">
        <v>282</v>
      </c>
      <c r="J35" s="71" t="s">
        <v>213</v>
      </c>
      <c r="M35" s="70" t="s">
        <v>283</v>
      </c>
      <c r="N35" s="71" t="s">
        <v>233</v>
      </c>
      <c r="O35" s="71" t="s">
        <v>233</v>
      </c>
      <c r="P35" s="72" t="s">
        <v>218</v>
      </c>
      <c r="Q35" s="73" t="s">
        <v>274</v>
      </c>
      <c r="R35" s="71" t="s">
        <v>249</v>
      </c>
      <c r="S35" s="75" t="s">
        <v>204</v>
      </c>
      <c r="T35" s="75" t="s">
        <v>275</v>
      </c>
      <c r="U35" s="75" t="s">
        <v>202</v>
      </c>
      <c r="V35" s="71" t="s">
        <v>250</v>
      </c>
      <c r="W35" s="75" t="s">
        <v>209</v>
      </c>
      <c r="X35" s="71" t="s">
        <v>280</v>
      </c>
      <c r="Y35" s="75" t="s">
        <v>206</v>
      </c>
      <c r="Z35" s="71" t="s">
        <v>270</v>
      </c>
      <c r="AA35" s="71" t="s">
        <v>200</v>
      </c>
      <c r="AB35" s="71" t="s">
        <v>220</v>
      </c>
      <c r="AC35" s="75" t="s">
        <v>198</v>
      </c>
      <c r="AD35" s="71" t="s">
        <v>199</v>
      </c>
      <c r="AE35" s="71" t="s">
        <v>196</v>
      </c>
      <c r="AF35" s="71" t="s">
        <v>267</v>
      </c>
      <c r="AG35" s="71" t="s">
        <v>254</v>
      </c>
      <c r="AH35" s="76" t="s">
        <v>276</v>
      </c>
      <c r="AK35" s="71"/>
      <c r="AL35" s="75" t="s">
        <v>218</v>
      </c>
      <c r="AM35" s="71"/>
      <c r="AN35" s="71"/>
      <c r="AO35" s="71" t="s">
        <v>194</v>
      </c>
      <c r="AP35" s="71" t="s">
        <v>195</v>
      </c>
      <c r="AQ35" s="71"/>
      <c r="AS35" s="71"/>
      <c r="AT35" s="75" t="s">
        <v>218</v>
      </c>
      <c r="AV35" s="75" t="s">
        <v>218</v>
      </c>
      <c r="AW35" s="75" t="s">
        <v>208</v>
      </c>
      <c r="AX35" s="75" t="str">
        <f t="shared" ref="AX35:AX66" si="3">IFERROR(VLOOKUP(A35,_p7_2025,2,FALSE),"")</f>
        <v>LAURA STHEPHANIA SANCHEZ PABON</v>
      </c>
      <c r="BP35" s="71"/>
      <c r="BQ35" s="71"/>
      <c r="BR35" s="71"/>
      <c r="BS35" s="71"/>
      <c r="BT35" s="71"/>
      <c r="BU35" s="71">
        <v>12</v>
      </c>
      <c r="BV35" s="71" t="s">
        <v>534</v>
      </c>
    </row>
    <row r="36" spans="1:74" ht="13.5" customHeight="1" x14ac:dyDescent="0.25">
      <c r="A36" s="70">
        <v>2977465</v>
      </c>
      <c r="B36" s="71" t="s">
        <v>245</v>
      </c>
      <c r="C36" s="71">
        <v>25</v>
      </c>
      <c r="D36" s="72" t="s">
        <v>271</v>
      </c>
      <c r="E36" s="73" t="s">
        <v>97</v>
      </c>
      <c r="F36" s="74">
        <f t="shared" si="2"/>
        <v>46066</v>
      </c>
      <c r="G36" s="73" t="s">
        <v>98</v>
      </c>
      <c r="H36" s="73" t="s">
        <v>282</v>
      </c>
      <c r="I36" s="71" t="s">
        <v>282</v>
      </c>
      <c r="J36" s="71" t="s">
        <v>226</v>
      </c>
      <c r="M36" s="70" t="s">
        <v>283</v>
      </c>
      <c r="N36" s="71" t="s">
        <v>233</v>
      </c>
      <c r="O36" s="71" t="s">
        <v>233</v>
      </c>
      <c r="P36" s="72" t="s">
        <v>218</v>
      </c>
      <c r="Q36" s="73" t="s">
        <v>274</v>
      </c>
      <c r="R36" s="71" t="s">
        <v>249</v>
      </c>
      <c r="S36" s="75" t="s">
        <v>204</v>
      </c>
      <c r="T36" s="75" t="s">
        <v>275</v>
      </c>
      <c r="U36" s="75" t="s">
        <v>202</v>
      </c>
      <c r="V36" s="71" t="s">
        <v>250</v>
      </c>
      <c r="W36" s="75" t="s">
        <v>209</v>
      </c>
      <c r="X36" s="71" t="s">
        <v>236</v>
      </c>
      <c r="Y36" s="75" t="s">
        <v>206</v>
      </c>
      <c r="Z36" s="71" t="s">
        <v>213</v>
      </c>
      <c r="AA36" s="71" t="s">
        <v>200</v>
      </c>
      <c r="AB36" s="71" t="s">
        <v>201</v>
      </c>
      <c r="AC36" s="75" t="s">
        <v>198</v>
      </c>
      <c r="AD36" s="71" t="s">
        <v>225</v>
      </c>
      <c r="AE36" s="71" t="s">
        <v>196</v>
      </c>
      <c r="AF36" s="71" t="s">
        <v>267</v>
      </c>
      <c r="AG36" s="71" t="s">
        <v>254</v>
      </c>
      <c r="AH36" s="76" t="s">
        <v>255</v>
      </c>
      <c r="AK36" s="71" t="s">
        <v>194</v>
      </c>
      <c r="AL36" s="75" t="s">
        <v>195</v>
      </c>
      <c r="AM36" s="71"/>
      <c r="AN36" s="71"/>
      <c r="AO36" s="71" t="s">
        <v>208</v>
      </c>
      <c r="AP36" s="71" t="s">
        <v>235</v>
      </c>
      <c r="AQ36" s="71"/>
      <c r="AS36" s="71"/>
      <c r="AT36" s="75" t="s">
        <v>218</v>
      </c>
      <c r="AV36" s="75" t="s">
        <v>218</v>
      </c>
      <c r="AX36" s="75" t="str">
        <f t="shared" si="3"/>
        <v/>
      </c>
      <c r="BP36" s="71"/>
      <c r="BQ36" s="71"/>
      <c r="BR36" s="71"/>
      <c r="BS36" s="71"/>
      <c r="BT36" s="71"/>
      <c r="BU36" s="71">
        <v>12</v>
      </c>
      <c r="BV36" s="71" t="s">
        <v>534</v>
      </c>
    </row>
    <row r="37" spans="1:74" ht="13.5" customHeight="1" x14ac:dyDescent="0.25">
      <c r="A37" s="70">
        <v>2977466</v>
      </c>
      <c r="B37" s="71" t="s">
        <v>245</v>
      </c>
      <c r="C37" s="71">
        <v>29</v>
      </c>
      <c r="D37" s="72" t="s">
        <v>271</v>
      </c>
      <c r="E37" s="73" t="s">
        <v>97</v>
      </c>
      <c r="F37" s="74">
        <f t="shared" si="2"/>
        <v>46066</v>
      </c>
      <c r="G37" s="73" t="s">
        <v>98</v>
      </c>
      <c r="H37" s="73" t="s">
        <v>284</v>
      </c>
      <c r="I37" s="71" t="s">
        <v>284</v>
      </c>
      <c r="J37" s="71" t="s">
        <v>226</v>
      </c>
      <c r="L37" s="71" t="s">
        <v>284</v>
      </c>
      <c r="M37" s="70" t="s">
        <v>285</v>
      </c>
      <c r="N37" s="71" t="s">
        <v>233</v>
      </c>
      <c r="O37" s="71" t="s">
        <v>233</v>
      </c>
      <c r="P37" s="72" t="s">
        <v>218</v>
      </c>
      <c r="Q37" s="73" t="s">
        <v>274</v>
      </c>
      <c r="R37" s="71" t="s">
        <v>249</v>
      </c>
      <c r="S37" s="75" t="s">
        <v>204</v>
      </c>
      <c r="T37" s="75" t="s">
        <v>269</v>
      </c>
      <c r="U37" s="75" t="s">
        <v>202</v>
      </c>
      <c r="V37" s="71" t="s">
        <v>216</v>
      </c>
      <c r="W37" s="75" t="s">
        <v>209</v>
      </c>
      <c r="X37" s="71" t="s">
        <v>236</v>
      </c>
      <c r="Y37" s="75" t="s">
        <v>206</v>
      </c>
      <c r="Z37" s="71" t="s">
        <v>207</v>
      </c>
      <c r="AA37" s="71" t="s">
        <v>200</v>
      </c>
      <c r="AB37" s="71" t="s">
        <v>201</v>
      </c>
      <c r="AC37" s="75" t="s">
        <v>198</v>
      </c>
      <c r="AD37" s="71" t="s">
        <v>199</v>
      </c>
      <c r="AE37" s="71" t="s">
        <v>196</v>
      </c>
      <c r="AF37" s="71" t="s">
        <v>219</v>
      </c>
      <c r="AG37" s="71" t="s">
        <v>254</v>
      </c>
      <c r="AH37" s="76" t="s">
        <v>276</v>
      </c>
      <c r="AK37" s="71" t="s">
        <v>194</v>
      </c>
      <c r="AL37" s="75" t="s">
        <v>195</v>
      </c>
      <c r="AM37" s="71"/>
      <c r="AN37" s="71"/>
      <c r="AO37" s="71" t="s">
        <v>208</v>
      </c>
      <c r="AP37" s="71" t="s">
        <v>235</v>
      </c>
      <c r="AQ37" s="71"/>
      <c r="AS37" s="71"/>
      <c r="AT37" s="75" t="s">
        <v>218</v>
      </c>
      <c r="AV37" s="75" t="s">
        <v>218</v>
      </c>
      <c r="AX37" s="75" t="str">
        <f t="shared" si="3"/>
        <v/>
      </c>
      <c r="BP37" s="71"/>
      <c r="BQ37" s="71"/>
      <c r="BR37" s="71"/>
      <c r="BS37" s="71"/>
      <c r="BT37" s="71"/>
      <c r="BU37" s="71">
        <v>12</v>
      </c>
      <c r="BV37" s="71" t="s">
        <v>534</v>
      </c>
    </row>
    <row r="38" spans="1:74" ht="13.5" customHeight="1" x14ac:dyDescent="0.25">
      <c r="A38" s="77">
        <v>2977467</v>
      </c>
      <c r="B38" s="71" t="s">
        <v>245</v>
      </c>
      <c r="C38" s="71">
        <v>27</v>
      </c>
      <c r="D38" s="72" t="s">
        <v>271</v>
      </c>
      <c r="E38" s="73" t="s">
        <v>97</v>
      </c>
      <c r="F38" s="74">
        <f t="shared" si="2"/>
        <v>46066</v>
      </c>
      <c r="G38" s="73" t="s">
        <v>98</v>
      </c>
      <c r="H38" s="73" t="s">
        <v>284</v>
      </c>
      <c r="I38" s="71" t="s">
        <v>284</v>
      </c>
      <c r="J38" s="71" t="s">
        <v>226</v>
      </c>
      <c r="L38" s="71" t="s">
        <v>284</v>
      </c>
      <c r="M38" s="70" t="s">
        <v>285</v>
      </c>
      <c r="N38" s="71" t="s">
        <v>233</v>
      </c>
      <c r="O38" s="71" t="s">
        <v>233</v>
      </c>
      <c r="P38" s="72" t="s">
        <v>218</v>
      </c>
      <c r="Q38" s="73" t="s">
        <v>274</v>
      </c>
      <c r="R38" s="71" t="s">
        <v>249</v>
      </c>
      <c r="S38" s="75" t="s">
        <v>204</v>
      </c>
      <c r="T38" s="75" t="s">
        <v>269</v>
      </c>
      <c r="U38" s="75" t="s">
        <v>202</v>
      </c>
      <c r="V38" s="71" t="s">
        <v>256</v>
      </c>
      <c r="W38" s="75" t="s">
        <v>209</v>
      </c>
      <c r="X38" s="71" t="s">
        <v>251</v>
      </c>
      <c r="Y38" s="75" t="s">
        <v>206</v>
      </c>
      <c r="Z38" s="71" t="s">
        <v>213</v>
      </c>
      <c r="AA38" s="71" t="s">
        <v>200</v>
      </c>
      <c r="AB38" s="71" t="s">
        <v>286</v>
      </c>
      <c r="AC38" s="75" t="s">
        <v>198</v>
      </c>
      <c r="AD38" s="71" t="s">
        <v>199</v>
      </c>
      <c r="AE38" s="71" t="s">
        <v>196</v>
      </c>
      <c r="AF38" s="71" t="s">
        <v>219</v>
      </c>
      <c r="AG38" s="71" t="s">
        <v>254</v>
      </c>
      <c r="AH38" s="76" t="s">
        <v>255</v>
      </c>
      <c r="AK38" s="71" t="s">
        <v>194</v>
      </c>
      <c r="AL38" s="75" t="s">
        <v>195</v>
      </c>
      <c r="AM38" s="71"/>
      <c r="AN38" s="71"/>
      <c r="AO38" s="71" t="s">
        <v>208</v>
      </c>
      <c r="AP38" s="71" t="s">
        <v>239</v>
      </c>
      <c r="AQ38" s="71"/>
      <c r="AS38" s="71"/>
      <c r="AT38" s="75" t="s">
        <v>218</v>
      </c>
      <c r="AV38" s="75" t="s">
        <v>218</v>
      </c>
      <c r="AX38" s="75" t="str">
        <f t="shared" si="3"/>
        <v/>
      </c>
      <c r="BP38" s="71"/>
      <c r="BQ38" s="71"/>
      <c r="BR38" s="71"/>
      <c r="BS38" s="71"/>
      <c r="BT38" s="71"/>
      <c r="BU38" s="71">
        <v>12</v>
      </c>
      <c r="BV38" s="71" t="s">
        <v>534</v>
      </c>
    </row>
    <row r="39" spans="1:74" ht="13.5" customHeight="1" x14ac:dyDescent="0.25">
      <c r="A39" s="70">
        <v>2977468</v>
      </c>
      <c r="B39" s="71" t="s">
        <v>245</v>
      </c>
      <c r="C39" s="71">
        <v>28</v>
      </c>
      <c r="D39" s="72" t="s">
        <v>271</v>
      </c>
      <c r="E39" s="73" t="s">
        <v>97</v>
      </c>
      <c r="F39" s="74">
        <f t="shared" si="2"/>
        <v>46066</v>
      </c>
      <c r="G39" s="73" t="s">
        <v>98</v>
      </c>
      <c r="H39" s="73" t="s">
        <v>284</v>
      </c>
      <c r="I39" s="71" t="s">
        <v>284</v>
      </c>
      <c r="J39" s="71" t="s">
        <v>226</v>
      </c>
      <c r="L39" s="71" t="s">
        <v>284</v>
      </c>
      <c r="M39" s="70" t="s">
        <v>285</v>
      </c>
      <c r="N39" s="71" t="s">
        <v>287</v>
      </c>
      <c r="P39" s="72" t="s">
        <v>218</v>
      </c>
      <c r="Q39" s="73" t="s">
        <v>274</v>
      </c>
      <c r="R39" s="71" t="s">
        <v>249</v>
      </c>
      <c r="S39" s="75" t="s">
        <v>204</v>
      </c>
      <c r="T39" s="75" t="s">
        <v>269</v>
      </c>
      <c r="U39" s="75" t="s">
        <v>196</v>
      </c>
      <c r="V39" s="71" t="s">
        <v>252</v>
      </c>
      <c r="W39" s="75" t="s">
        <v>200</v>
      </c>
      <c r="X39" s="71" t="s">
        <v>201</v>
      </c>
      <c r="Y39" s="75" t="s">
        <v>198</v>
      </c>
      <c r="Z39" s="71" t="s">
        <v>225</v>
      </c>
      <c r="AA39" s="71" t="s">
        <v>254</v>
      </c>
      <c r="AB39" s="71" t="s">
        <v>288</v>
      </c>
      <c r="AC39" s="75" t="s">
        <v>194</v>
      </c>
      <c r="AD39" s="71" t="s">
        <v>277</v>
      </c>
      <c r="AE39" s="71" t="s">
        <v>209</v>
      </c>
      <c r="AF39" s="71" t="s">
        <v>236</v>
      </c>
      <c r="AG39" s="71" t="s">
        <v>206</v>
      </c>
      <c r="AH39" s="76" t="s">
        <v>207</v>
      </c>
      <c r="AK39" s="71" t="s">
        <v>202</v>
      </c>
      <c r="AL39" s="75" t="s">
        <v>216</v>
      </c>
      <c r="AM39" s="71"/>
      <c r="AN39" s="71"/>
      <c r="AO39" s="71" t="s">
        <v>208</v>
      </c>
      <c r="AP39" s="71" t="s">
        <v>239</v>
      </c>
      <c r="AQ39" s="71"/>
      <c r="AS39" s="71"/>
      <c r="AT39" s="75" t="s">
        <v>218</v>
      </c>
      <c r="AV39" s="75" t="s">
        <v>218</v>
      </c>
      <c r="AX39" s="75" t="str">
        <f t="shared" si="3"/>
        <v/>
      </c>
      <c r="BP39" s="71"/>
      <c r="BQ39" s="71"/>
      <c r="BR39" s="71"/>
      <c r="BS39" s="71"/>
      <c r="BT39" s="71"/>
      <c r="BV39" s="71" t="s">
        <v>536</v>
      </c>
    </row>
    <row r="40" spans="1:74" ht="13.5" customHeight="1" x14ac:dyDescent="0.25">
      <c r="A40" s="70">
        <v>2977469</v>
      </c>
      <c r="B40" s="71" t="s">
        <v>245</v>
      </c>
      <c r="C40" s="71">
        <v>40</v>
      </c>
      <c r="D40" s="72" t="s">
        <v>271</v>
      </c>
      <c r="E40" s="73" t="s">
        <v>97</v>
      </c>
      <c r="F40" s="74">
        <f t="shared" si="2"/>
        <v>46066</v>
      </c>
      <c r="G40" s="73" t="s">
        <v>98</v>
      </c>
      <c r="H40" s="73" t="s">
        <v>279</v>
      </c>
      <c r="I40" s="71" t="s">
        <v>279</v>
      </c>
      <c r="J40" s="71" t="s">
        <v>226</v>
      </c>
      <c r="M40" s="70" t="s">
        <v>279</v>
      </c>
      <c r="N40" s="71" t="s">
        <v>287</v>
      </c>
      <c r="P40" s="72" t="s">
        <v>218</v>
      </c>
      <c r="Q40" s="73" t="s">
        <v>274</v>
      </c>
      <c r="R40" s="71" t="s">
        <v>249</v>
      </c>
      <c r="S40" s="75" t="s">
        <v>204</v>
      </c>
      <c r="T40" s="75" t="s">
        <v>269</v>
      </c>
      <c r="U40" s="75" t="s">
        <v>208</v>
      </c>
      <c r="V40" s="71" t="s">
        <v>289</v>
      </c>
      <c r="W40" s="75" t="s">
        <v>200</v>
      </c>
      <c r="X40" s="71" t="s">
        <v>220</v>
      </c>
      <c r="Y40" s="75" t="s">
        <v>198</v>
      </c>
      <c r="Z40" s="71" t="s">
        <v>225</v>
      </c>
      <c r="AA40" s="71" t="s">
        <v>209</v>
      </c>
      <c r="AB40" s="71" t="s">
        <v>251</v>
      </c>
      <c r="AC40" s="75" t="s">
        <v>196</v>
      </c>
      <c r="AD40" s="71" t="s">
        <v>267</v>
      </c>
      <c r="AE40" s="71" t="s">
        <v>254</v>
      </c>
      <c r="AF40" s="71" t="s">
        <v>255</v>
      </c>
      <c r="AG40" s="71" t="s">
        <v>194</v>
      </c>
      <c r="AH40" s="76" t="s">
        <v>195</v>
      </c>
      <c r="AK40" s="71" t="s">
        <v>206</v>
      </c>
      <c r="AL40" s="75" t="s">
        <v>207</v>
      </c>
      <c r="AM40" s="71"/>
      <c r="AN40" s="71"/>
      <c r="AO40" s="71"/>
      <c r="AP40" s="71"/>
      <c r="AQ40" s="71"/>
      <c r="AS40" s="71"/>
      <c r="AT40" s="75" t="s">
        <v>218</v>
      </c>
      <c r="AV40" s="75" t="s">
        <v>218</v>
      </c>
      <c r="AW40" s="75" t="s">
        <v>202</v>
      </c>
      <c r="AX40" s="75" t="str">
        <f t="shared" si="3"/>
        <v>CHRISTIAN CAMILO RODRIGUEZ SALAS</v>
      </c>
      <c r="BP40" s="71"/>
      <c r="BQ40" s="71"/>
      <c r="BR40" s="71"/>
      <c r="BS40" s="71"/>
      <c r="BT40" s="71"/>
      <c r="BV40" s="71" t="s">
        <v>536</v>
      </c>
    </row>
    <row r="41" spans="1:74" ht="13.5" customHeight="1" x14ac:dyDescent="0.25">
      <c r="A41" s="70">
        <v>2977470</v>
      </c>
      <c r="B41" s="71" t="s">
        <v>245</v>
      </c>
      <c r="C41" s="71">
        <v>26</v>
      </c>
      <c r="D41" s="72" t="s">
        <v>271</v>
      </c>
      <c r="E41" s="73" t="s">
        <v>97</v>
      </c>
      <c r="F41" s="74">
        <f t="shared" si="2"/>
        <v>46066</v>
      </c>
      <c r="G41" s="73" t="s">
        <v>98</v>
      </c>
      <c r="H41" s="73" t="s">
        <v>290</v>
      </c>
      <c r="I41" s="71" t="s">
        <v>290</v>
      </c>
      <c r="J41" s="71" t="s">
        <v>226</v>
      </c>
      <c r="M41" s="70" t="s">
        <v>291</v>
      </c>
      <c r="N41" s="71" t="s">
        <v>287</v>
      </c>
      <c r="P41" s="72" t="s">
        <v>218</v>
      </c>
      <c r="Q41" s="73" t="s">
        <v>274</v>
      </c>
      <c r="R41" s="71" t="s">
        <v>249</v>
      </c>
      <c r="S41" s="75" t="s">
        <v>204</v>
      </c>
      <c r="T41" s="75" t="s">
        <v>269</v>
      </c>
      <c r="U41" s="75" t="s">
        <v>208</v>
      </c>
      <c r="V41" s="71" t="s">
        <v>235</v>
      </c>
      <c r="W41" s="75" t="s">
        <v>200</v>
      </c>
      <c r="X41" s="71" t="s">
        <v>201</v>
      </c>
      <c r="Y41" s="75" t="s">
        <v>198</v>
      </c>
      <c r="Z41" s="71" t="s">
        <v>290</v>
      </c>
      <c r="AA41" s="71" t="s">
        <v>209</v>
      </c>
      <c r="AB41" s="71" t="s">
        <v>251</v>
      </c>
      <c r="AC41" s="75" t="s">
        <v>196</v>
      </c>
      <c r="AD41" s="71" t="s">
        <v>267</v>
      </c>
      <c r="AE41" s="71" t="s">
        <v>254</v>
      </c>
      <c r="AF41" s="71" t="s">
        <v>255</v>
      </c>
      <c r="AG41" s="71" t="s">
        <v>194</v>
      </c>
      <c r="AH41" s="76" t="s">
        <v>195</v>
      </c>
      <c r="AK41" s="71" t="s">
        <v>206</v>
      </c>
      <c r="AL41" s="75" t="s">
        <v>213</v>
      </c>
      <c r="AM41" s="71"/>
      <c r="AN41" s="71"/>
      <c r="AO41" s="71"/>
      <c r="AP41" s="71"/>
      <c r="AQ41" s="71"/>
      <c r="AS41" s="71"/>
      <c r="AT41" s="75" t="s">
        <v>218</v>
      </c>
      <c r="AV41" s="75" t="s">
        <v>218</v>
      </c>
      <c r="AW41" s="75" t="s">
        <v>202</v>
      </c>
      <c r="AX41" s="75" t="str">
        <f t="shared" si="3"/>
        <v>MELISSA ANDREA LAITON GARNICA</v>
      </c>
      <c r="BP41" s="71"/>
      <c r="BQ41" s="71"/>
      <c r="BR41" s="71"/>
      <c r="BS41" s="71"/>
      <c r="BT41" s="71"/>
      <c r="BV41" s="71" t="s">
        <v>536</v>
      </c>
    </row>
    <row r="42" spans="1:74" ht="13.5" customHeight="1" x14ac:dyDescent="0.25">
      <c r="A42" s="70">
        <v>2977471</v>
      </c>
      <c r="B42" s="71" t="s">
        <v>245</v>
      </c>
      <c r="C42" s="71">
        <v>28</v>
      </c>
      <c r="D42" s="72" t="s">
        <v>271</v>
      </c>
      <c r="E42" s="73" t="s">
        <v>97</v>
      </c>
      <c r="F42" s="74">
        <f t="shared" si="2"/>
        <v>46066</v>
      </c>
      <c r="G42" s="73" t="s">
        <v>98</v>
      </c>
      <c r="H42" s="73" t="s">
        <v>290</v>
      </c>
      <c r="I42" s="71" t="s">
        <v>290</v>
      </c>
      <c r="J42" s="71" t="s">
        <v>226</v>
      </c>
      <c r="M42" s="70" t="s">
        <v>291</v>
      </c>
      <c r="N42" s="71" t="s">
        <v>287</v>
      </c>
      <c r="P42" s="72" t="s">
        <v>218</v>
      </c>
      <c r="Q42" s="73" t="s">
        <v>274</v>
      </c>
      <c r="R42" s="71" t="s">
        <v>249</v>
      </c>
      <c r="S42" s="75" t="s">
        <v>204</v>
      </c>
      <c r="T42" s="75" t="s">
        <v>269</v>
      </c>
      <c r="U42" s="75" t="s">
        <v>208</v>
      </c>
      <c r="V42" s="71" t="s">
        <v>235</v>
      </c>
      <c r="W42" s="75" t="s">
        <v>202</v>
      </c>
      <c r="X42" s="71" t="s">
        <v>216</v>
      </c>
      <c r="Y42" s="75" t="s">
        <v>254</v>
      </c>
      <c r="Z42" s="71" t="s">
        <v>276</v>
      </c>
      <c r="AA42" s="71" t="s">
        <v>200</v>
      </c>
      <c r="AB42" s="71" t="s">
        <v>286</v>
      </c>
      <c r="AC42" s="75" t="s">
        <v>198</v>
      </c>
      <c r="AD42" s="71" t="s">
        <v>225</v>
      </c>
      <c r="AE42" s="71" t="s">
        <v>196</v>
      </c>
      <c r="AF42" s="71" t="s">
        <v>267</v>
      </c>
      <c r="AG42" s="71" t="s">
        <v>209</v>
      </c>
      <c r="AH42" s="76" t="s">
        <v>226</v>
      </c>
      <c r="AK42" s="71" t="s">
        <v>194</v>
      </c>
      <c r="AL42" s="75" t="s">
        <v>195</v>
      </c>
      <c r="AM42" s="71"/>
      <c r="AN42" s="71"/>
      <c r="AO42" s="71" t="s">
        <v>206</v>
      </c>
      <c r="AP42" s="71" t="s">
        <v>213</v>
      </c>
      <c r="AQ42" s="71"/>
      <c r="AS42" s="71"/>
      <c r="AT42" s="75" t="s">
        <v>218</v>
      </c>
      <c r="AV42" s="75" t="s">
        <v>218</v>
      </c>
      <c r="AX42" s="75" t="str">
        <f t="shared" si="3"/>
        <v/>
      </c>
      <c r="BP42" s="71"/>
      <c r="BQ42" s="71"/>
      <c r="BR42" s="71"/>
      <c r="BS42" s="71"/>
      <c r="BT42" s="71"/>
      <c r="BV42" s="71" t="s">
        <v>536</v>
      </c>
    </row>
    <row r="43" spans="1:74" ht="13.5" customHeight="1" x14ac:dyDescent="0.25">
      <c r="A43" s="70">
        <v>2977472</v>
      </c>
      <c r="B43" s="71" t="s">
        <v>245</v>
      </c>
      <c r="C43" s="71">
        <v>33</v>
      </c>
      <c r="D43" s="72" t="s">
        <v>271</v>
      </c>
      <c r="E43" s="73" t="s">
        <v>97</v>
      </c>
      <c r="F43" s="74">
        <f t="shared" si="2"/>
        <v>46066</v>
      </c>
      <c r="G43" s="73" t="s">
        <v>98</v>
      </c>
      <c r="H43" s="73" t="s">
        <v>290</v>
      </c>
      <c r="I43" s="71" t="s">
        <v>290</v>
      </c>
      <c r="J43" s="71" t="s">
        <v>226</v>
      </c>
      <c r="M43" s="70" t="s">
        <v>291</v>
      </c>
      <c r="N43" s="71" t="s">
        <v>287</v>
      </c>
      <c r="P43" s="72" t="s">
        <v>218</v>
      </c>
      <c r="Q43" s="73" t="s">
        <v>274</v>
      </c>
      <c r="R43" s="71" t="s">
        <v>249</v>
      </c>
      <c r="S43" s="75" t="s">
        <v>204</v>
      </c>
      <c r="T43" s="75" t="s">
        <v>269</v>
      </c>
      <c r="U43" s="75" t="s">
        <v>208</v>
      </c>
      <c r="V43" s="71" t="s">
        <v>289</v>
      </c>
      <c r="W43" s="75" t="s">
        <v>200</v>
      </c>
      <c r="X43" s="71" t="s">
        <v>286</v>
      </c>
      <c r="Y43" s="75" t="s">
        <v>198</v>
      </c>
      <c r="Z43" s="71" t="s">
        <v>290</v>
      </c>
      <c r="AA43" s="71" t="s">
        <v>209</v>
      </c>
      <c r="AB43" s="71" t="s">
        <v>236</v>
      </c>
      <c r="AC43" s="75" t="s">
        <v>196</v>
      </c>
      <c r="AD43" s="71" t="s">
        <v>267</v>
      </c>
      <c r="AE43" s="71" t="s">
        <v>254</v>
      </c>
      <c r="AF43" s="71" t="s">
        <v>255</v>
      </c>
      <c r="AG43" s="71" t="s">
        <v>194</v>
      </c>
      <c r="AH43" s="76" t="s">
        <v>195</v>
      </c>
      <c r="AK43" s="71" t="s">
        <v>206</v>
      </c>
      <c r="AL43" s="75" t="s">
        <v>207</v>
      </c>
      <c r="AM43" s="71"/>
      <c r="AN43" s="71"/>
      <c r="AO43" s="71" t="s">
        <v>202</v>
      </c>
      <c r="AP43" s="71" t="s">
        <v>203</v>
      </c>
      <c r="AQ43" s="71"/>
      <c r="AS43" s="71"/>
      <c r="AT43" s="75" t="s">
        <v>218</v>
      </c>
      <c r="AV43" s="75" t="s">
        <v>218</v>
      </c>
      <c r="AX43" s="75" t="str">
        <f t="shared" si="3"/>
        <v/>
      </c>
      <c r="BP43" s="71"/>
      <c r="BQ43" s="71"/>
      <c r="BR43" s="71"/>
      <c r="BS43" s="71"/>
      <c r="BT43" s="71"/>
      <c r="BV43" s="71" t="s">
        <v>536</v>
      </c>
    </row>
    <row r="44" spans="1:74" ht="13.5" customHeight="1" x14ac:dyDescent="0.25">
      <c r="A44" s="70">
        <v>2977473</v>
      </c>
      <c r="B44" s="71" t="s">
        <v>245</v>
      </c>
      <c r="C44" s="71">
        <v>27</v>
      </c>
      <c r="D44" s="72" t="s">
        <v>271</v>
      </c>
      <c r="E44" s="73" t="s">
        <v>97</v>
      </c>
      <c r="F44" s="74">
        <f t="shared" si="2"/>
        <v>46066</v>
      </c>
      <c r="G44" s="73" t="s">
        <v>98</v>
      </c>
      <c r="H44" s="73" t="s">
        <v>290</v>
      </c>
      <c r="I44" s="71" t="s">
        <v>290</v>
      </c>
      <c r="J44" s="71" t="s">
        <v>226</v>
      </c>
      <c r="M44" s="70" t="s">
        <v>291</v>
      </c>
      <c r="N44" s="71" t="s">
        <v>287</v>
      </c>
      <c r="P44" s="72" t="s">
        <v>218</v>
      </c>
      <c r="Q44" s="73" t="s">
        <v>274</v>
      </c>
      <c r="R44" s="71" t="s">
        <v>249</v>
      </c>
      <c r="S44" s="75" t="s">
        <v>204</v>
      </c>
      <c r="T44" s="75" t="s">
        <v>269</v>
      </c>
      <c r="U44" s="75" t="s">
        <v>208</v>
      </c>
      <c r="V44" s="71" t="s">
        <v>235</v>
      </c>
      <c r="W44" s="75" t="s">
        <v>200</v>
      </c>
      <c r="X44" s="71" t="s">
        <v>220</v>
      </c>
      <c r="Y44" s="75" t="s">
        <v>198</v>
      </c>
      <c r="Z44" s="71" t="s">
        <v>290</v>
      </c>
      <c r="AA44" s="71" t="s">
        <v>209</v>
      </c>
      <c r="AB44" s="71" t="s">
        <v>236</v>
      </c>
      <c r="AC44" s="75"/>
      <c r="AE44" s="71" t="s">
        <v>196</v>
      </c>
      <c r="AF44" s="71" t="s">
        <v>219</v>
      </c>
      <c r="AG44" s="71" t="s">
        <v>254</v>
      </c>
      <c r="AH44" s="76" t="s">
        <v>255</v>
      </c>
      <c r="AK44" s="71" t="s">
        <v>194</v>
      </c>
      <c r="AL44" s="75" t="s">
        <v>195</v>
      </c>
      <c r="AM44" s="71"/>
      <c r="AN44" s="71"/>
      <c r="AO44" s="71" t="s">
        <v>206</v>
      </c>
      <c r="AP44" s="71" t="s">
        <v>207</v>
      </c>
      <c r="AQ44" s="71"/>
      <c r="AS44" s="71"/>
      <c r="AT44" s="75" t="s">
        <v>218</v>
      </c>
      <c r="AV44" s="75" t="s">
        <v>218</v>
      </c>
      <c r="AW44" s="75" t="s">
        <v>202</v>
      </c>
      <c r="AX44" s="75" t="str">
        <f t="shared" si="3"/>
        <v>CHRISTIAN CAMILO RODRIGUEZ SALAS</v>
      </c>
      <c r="BP44" s="71"/>
      <c r="BQ44" s="71"/>
      <c r="BR44" s="71"/>
      <c r="BS44" s="71"/>
      <c r="BT44" s="71"/>
      <c r="BV44" s="71" t="s">
        <v>536</v>
      </c>
    </row>
    <row r="45" spans="1:74" ht="13.5" customHeight="1" x14ac:dyDescent="0.25">
      <c r="A45" s="70">
        <v>2977634</v>
      </c>
      <c r="B45" s="71" t="s">
        <v>245</v>
      </c>
      <c r="C45" s="71">
        <v>23</v>
      </c>
      <c r="D45" s="72" t="s">
        <v>100</v>
      </c>
      <c r="E45" s="73" t="s">
        <v>97</v>
      </c>
      <c r="F45" s="74">
        <f t="shared" si="2"/>
        <v>46066</v>
      </c>
      <c r="G45" s="73" t="s">
        <v>98</v>
      </c>
      <c r="H45" s="73" t="s">
        <v>292</v>
      </c>
      <c r="I45" s="71" t="s">
        <v>292</v>
      </c>
      <c r="J45" s="71" t="s">
        <v>261</v>
      </c>
      <c r="M45" s="70" t="s">
        <v>292</v>
      </c>
      <c r="N45" s="71" t="s">
        <v>287</v>
      </c>
      <c r="P45" s="72" t="s">
        <v>218</v>
      </c>
      <c r="Q45" s="73" t="s">
        <v>293</v>
      </c>
      <c r="R45" s="71" t="s">
        <v>294</v>
      </c>
      <c r="S45" s="75" t="s">
        <v>196</v>
      </c>
      <c r="T45" s="75" t="s">
        <v>252</v>
      </c>
      <c r="U45" s="75" t="s">
        <v>209</v>
      </c>
      <c r="V45" s="71" t="s">
        <v>251</v>
      </c>
      <c r="W45" s="75" t="s">
        <v>202</v>
      </c>
      <c r="X45" s="71" t="s">
        <v>216</v>
      </c>
      <c r="Y45" s="75" t="s">
        <v>204</v>
      </c>
      <c r="Z45" s="71" t="s">
        <v>258</v>
      </c>
      <c r="AA45" s="71" t="s">
        <v>242</v>
      </c>
      <c r="AB45" s="71" t="s">
        <v>243</v>
      </c>
      <c r="AC45" s="75" t="s">
        <v>198</v>
      </c>
      <c r="AD45" s="71" t="s">
        <v>225</v>
      </c>
      <c r="AE45" s="71" t="s">
        <v>254</v>
      </c>
      <c r="AF45" s="71" t="s">
        <v>255</v>
      </c>
      <c r="AG45" s="71" t="s">
        <v>200</v>
      </c>
      <c r="AH45" s="76" t="s">
        <v>220</v>
      </c>
      <c r="AK45" s="71" t="s">
        <v>206</v>
      </c>
      <c r="AL45" s="75" t="s">
        <v>213</v>
      </c>
      <c r="AM45" s="71"/>
      <c r="AN45" s="71"/>
      <c r="AO45" s="71" t="s">
        <v>208</v>
      </c>
      <c r="AP45" s="71" t="s">
        <v>235</v>
      </c>
      <c r="AQ45" s="71"/>
      <c r="AS45" s="71"/>
      <c r="AT45" s="75" t="s">
        <v>218</v>
      </c>
      <c r="AV45" s="75" t="s">
        <v>218</v>
      </c>
      <c r="AX45" s="75" t="str">
        <f t="shared" si="3"/>
        <v/>
      </c>
      <c r="BP45" s="71"/>
      <c r="BQ45" s="71"/>
      <c r="BR45" s="71"/>
      <c r="BS45" s="71"/>
      <c r="BT45" s="71"/>
      <c r="BV45" s="71" t="s">
        <v>536</v>
      </c>
    </row>
    <row r="46" spans="1:74" ht="13.5" customHeight="1" x14ac:dyDescent="0.25">
      <c r="A46" s="70">
        <v>2977635</v>
      </c>
      <c r="B46" s="71" t="s">
        <v>245</v>
      </c>
      <c r="C46" s="71">
        <v>31</v>
      </c>
      <c r="D46" s="72" t="s">
        <v>100</v>
      </c>
      <c r="E46" s="73" t="s">
        <v>97</v>
      </c>
      <c r="F46" s="74">
        <f t="shared" si="2"/>
        <v>46066</v>
      </c>
      <c r="G46" s="73" t="s">
        <v>98</v>
      </c>
      <c r="H46" s="73" t="s">
        <v>292</v>
      </c>
      <c r="I46" s="71" t="s">
        <v>292</v>
      </c>
      <c r="J46" s="71" t="s">
        <v>261</v>
      </c>
      <c r="M46" s="70" t="s">
        <v>292</v>
      </c>
      <c r="N46" s="71" t="s">
        <v>287</v>
      </c>
      <c r="P46" s="72" t="s">
        <v>218</v>
      </c>
      <c r="Q46" s="73" t="s">
        <v>293</v>
      </c>
      <c r="R46" s="71" t="s">
        <v>294</v>
      </c>
      <c r="S46" s="75" t="s">
        <v>196</v>
      </c>
      <c r="T46" s="75" t="s">
        <v>267</v>
      </c>
      <c r="U46" s="75" t="s">
        <v>209</v>
      </c>
      <c r="V46" s="71" t="s">
        <v>236</v>
      </c>
      <c r="W46" s="75" t="s">
        <v>202</v>
      </c>
      <c r="X46" s="71" t="s">
        <v>256</v>
      </c>
      <c r="Y46" s="75" t="s">
        <v>204</v>
      </c>
      <c r="Z46" s="71" t="s">
        <v>269</v>
      </c>
      <c r="AA46" s="71" t="s">
        <v>242</v>
      </c>
      <c r="AB46" s="71" t="s">
        <v>243</v>
      </c>
      <c r="AC46" s="75" t="s">
        <v>198</v>
      </c>
      <c r="AD46" s="71" t="s">
        <v>199</v>
      </c>
      <c r="AE46" s="71" t="s">
        <v>254</v>
      </c>
      <c r="AF46" s="71" t="s">
        <v>255</v>
      </c>
      <c r="AG46" s="71" t="s">
        <v>200</v>
      </c>
      <c r="AH46" s="76" t="s">
        <v>214</v>
      </c>
      <c r="AK46" s="71" t="s">
        <v>206</v>
      </c>
      <c r="AL46" s="75" t="s">
        <v>207</v>
      </c>
      <c r="AM46" s="71"/>
      <c r="AN46" s="71"/>
      <c r="AO46" s="71" t="s">
        <v>208</v>
      </c>
      <c r="AP46" s="71" t="s">
        <v>278</v>
      </c>
      <c r="AQ46" s="71"/>
      <c r="AS46" s="71"/>
      <c r="AT46" s="75" t="s">
        <v>218</v>
      </c>
      <c r="AV46" s="75" t="s">
        <v>218</v>
      </c>
      <c r="AX46" s="75" t="str">
        <f t="shared" si="3"/>
        <v/>
      </c>
      <c r="BP46" s="71"/>
      <c r="BQ46" s="71"/>
      <c r="BR46" s="71"/>
      <c r="BS46" s="71"/>
      <c r="BT46" s="71"/>
      <c r="BV46" s="71" t="s">
        <v>536</v>
      </c>
    </row>
    <row r="47" spans="1:74" ht="13.5" customHeight="1" x14ac:dyDescent="0.25">
      <c r="A47" s="70">
        <v>2977636</v>
      </c>
      <c r="B47" s="71" t="s">
        <v>245</v>
      </c>
      <c r="C47" s="71">
        <v>22</v>
      </c>
      <c r="D47" s="72" t="s">
        <v>100</v>
      </c>
      <c r="E47" s="73" t="s">
        <v>97</v>
      </c>
      <c r="F47" s="74">
        <f t="shared" si="2"/>
        <v>46066</v>
      </c>
      <c r="G47" s="73" t="s">
        <v>98</v>
      </c>
      <c r="H47" s="73" t="s">
        <v>292</v>
      </c>
      <c r="I47" s="71" t="s">
        <v>292</v>
      </c>
      <c r="J47" s="71" t="s">
        <v>261</v>
      </c>
      <c r="M47" s="70" t="s">
        <v>292</v>
      </c>
      <c r="N47" s="71" t="s">
        <v>287</v>
      </c>
      <c r="P47" s="72" t="s">
        <v>218</v>
      </c>
      <c r="Q47" s="73" t="s">
        <v>293</v>
      </c>
      <c r="R47" s="71" t="s">
        <v>294</v>
      </c>
      <c r="S47" s="75" t="s">
        <v>200</v>
      </c>
      <c r="T47" s="75" t="s">
        <v>201</v>
      </c>
      <c r="U47" s="75" t="s">
        <v>209</v>
      </c>
      <c r="V47" s="71" t="s">
        <v>236</v>
      </c>
      <c r="W47" s="75" t="s">
        <v>204</v>
      </c>
      <c r="X47" s="71" t="s">
        <v>275</v>
      </c>
      <c r="Y47" s="75" t="s">
        <v>198</v>
      </c>
      <c r="Z47" s="71" t="s">
        <v>225</v>
      </c>
      <c r="AA47" s="71" t="s">
        <v>242</v>
      </c>
      <c r="AB47" s="71" t="s">
        <v>257</v>
      </c>
      <c r="AC47" s="75" t="s">
        <v>202</v>
      </c>
      <c r="AD47" s="71" t="s">
        <v>216</v>
      </c>
      <c r="AE47" s="71" t="s">
        <v>206</v>
      </c>
      <c r="AF47" s="71" t="s">
        <v>227</v>
      </c>
      <c r="AG47" s="71" t="s">
        <v>196</v>
      </c>
      <c r="AH47" s="76" t="s">
        <v>267</v>
      </c>
      <c r="AK47" s="71"/>
      <c r="AL47" s="75" t="s">
        <v>218</v>
      </c>
      <c r="AM47" s="71"/>
      <c r="AN47" s="71"/>
      <c r="AO47" s="71" t="s">
        <v>208</v>
      </c>
      <c r="AP47" s="71" t="s">
        <v>239</v>
      </c>
      <c r="AQ47" s="71"/>
      <c r="AS47" s="71" t="s">
        <v>254</v>
      </c>
      <c r="AT47" s="75" t="s">
        <v>255</v>
      </c>
      <c r="AV47" s="75" t="s">
        <v>218</v>
      </c>
      <c r="AX47" s="75" t="str">
        <f t="shared" si="3"/>
        <v/>
      </c>
      <c r="BP47" s="71"/>
      <c r="BQ47" s="71"/>
      <c r="BR47" s="71"/>
      <c r="BS47" s="71"/>
      <c r="BT47" s="71"/>
      <c r="BV47" s="71" t="s">
        <v>536</v>
      </c>
    </row>
    <row r="48" spans="1:74" ht="13.5" customHeight="1" x14ac:dyDescent="0.25">
      <c r="A48" s="70">
        <v>2977637</v>
      </c>
      <c r="B48" s="71" t="s">
        <v>245</v>
      </c>
      <c r="C48" s="71">
        <v>25</v>
      </c>
      <c r="D48" s="72" t="s">
        <v>100</v>
      </c>
      <c r="E48" s="73" t="s">
        <v>97</v>
      </c>
      <c r="F48" s="74">
        <f t="shared" si="2"/>
        <v>46066</v>
      </c>
      <c r="G48" s="73" t="s">
        <v>98</v>
      </c>
      <c r="H48" s="73" t="s">
        <v>292</v>
      </c>
      <c r="I48" s="71" t="s">
        <v>292</v>
      </c>
      <c r="J48" s="71" t="s">
        <v>261</v>
      </c>
      <c r="M48" s="70" t="s">
        <v>292</v>
      </c>
      <c r="N48" s="71" t="s">
        <v>287</v>
      </c>
      <c r="P48" s="72" t="s">
        <v>218</v>
      </c>
      <c r="Q48" s="73" t="s">
        <v>293</v>
      </c>
      <c r="R48" s="71" t="s">
        <v>294</v>
      </c>
      <c r="S48" s="75" t="s">
        <v>200</v>
      </c>
      <c r="T48" s="75" t="s">
        <v>286</v>
      </c>
      <c r="U48" s="75" t="s">
        <v>209</v>
      </c>
      <c r="V48" s="71" t="s">
        <v>236</v>
      </c>
      <c r="W48" s="75" t="s">
        <v>198</v>
      </c>
      <c r="X48" s="71" t="s">
        <v>225</v>
      </c>
      <c r="Y48" s="75" t="s">
        <v>204</v>
      </c>
      <c r="Z48" s="71" t="s">
        <v>275</v>
      </c>
      <c r="AA48" s="71" t="s">
        <v>242</v>
      </c>
      <c r="AB48" s="71" t="s">
        <v>243</v>
      </c>
      <c r="AC48" s="75" t="s">
        <v>202</v>
      </c>
      <c r="AD48" s="71" t="s">
        <v>216</v>
      </c>
      <c r="AE48" s="71" t="s">
        <v>206</v>
      </c>
      <c r="AF48" s="71" t="s">
        <v>213</v>
      </c>
      <c r="AG48" s="71" t="s">
        <v>196</v>
      </c>
      <c r="AH48" s="76" t="s">
        <v>219</v>
      </c>
      <c r="AK48" s="71"/>
      <c r="AL48" s="75" t="s">
        <v>218</v>
      </c>
      <c r="AM48" s="71"/>
      <c r="AN48" s="71"/>
      <c r="AO48" s="71" t="s">
        <v>208</v>
      </c>
      <c r="AP48" s="71" t="s">
        <v>239</v>
      </c>
      <c r="AQ48" s="71"/>
      <c r="AS48" s="71" t="s">
        <v>254</v>
      </c>
      <c r="AT48" s="75" t="s">
        <v>255</v>
      </c>
      <c r="AV48" s="75" t="s">
        <v>218</v>
      </c>
      <c r="AX48" s="75" t="str">
        <f t="shared" si="3"/>
        <v/>
      </c>
      <c r="BP48" s="71"/>
      <c r="BQ48" s="71"/>
      <c r="BR48" s="71"/>
      <c r="BS48" s="71"/>
      <c r="BT48" s="71"/>
      <c r="BV48" s="71" t="s">
        <v>536</v>
      </c>
    </row>
    <row r="49" spans="1:74" ht="13.5" customHeight="1" x14ac:dyDescent="0.25">
      <c r="A49" s="70">
        <v>2977740</v>
      </c>
      <c r="B49" s="71" t="s">
        <v>245</v>
      </c>
      <c r="C49" s="71">
        <v>33</v>
      </c>
      <c r="D49" s="72" t="s">
        <v>101</v>
      </c>
      <c r="E49" s="73" t="s">
        <v>97</v>
      </c>
      <c r="F49" s="74">
        <f t="shared" si="2"/>
        <v>46066</v>
      </c>
      <c r="G49" s="73" t="s">
        <v>98</v>
      </c>
      <c r="H49" s="73" t="s">
        <v>295</v>
      </c>
      <c r="I49" s="71" t="s">
        <v>295</v>
      </c>
      <c r="J49" s="71" t="s">
        <v>221</v>
      </c>
      <c r="M49" s="70" t="s">
        <v>296</v>
      </c>
      <c r="N49" s="71" t="s">
        <v>287</v>
      </c>
      <c r="P49" s="72" t="s">
        <v>218</v>
      </c>
      <c r="Q49" s="73" t="s">
        <v>297</v>
      </c>
      <c r="R49" s="71" t="s">
        <v>294</v>
      </c>
      <c r="S49" s="75" t="s">
        <v>209</v>
      </c>
      <c r="T49" s="75" t="s">
        <v>236</v>
      </c>
      <c r="U49" s="75" t="s">
        <v>200</v>
      </c>
      <c r="V49" s="71" t="s">
        <v>220</v>
      </c>
      <c r="W49" s="75" t="s">
        <v>202</v>
      </c>
      <c r="X49" s="71" t="s">
        <v>250</v>
      </c>
      <c r="Y49" s="75" t="s">
        <v>204</v>
      </c>
      <c r="Z49" s="71" t="s">
        <v>217</v>
      </c>
      <c r="AA49" s="71" t="s">
        <v>196</v>
      </c>
      <c r="AB49" s="71" t="s">
        <v>267</v>
      </c>
      <c r="AC49" s="75" t="s">
        <v>198</v>
      </c>
      <c r="AD49" s="71" t="s">
        <v>199</v>
      </c>
      <c r="AE49" s="71" t="s">
        <v>254</v>
      </c>
      <c r="AF49" s="71" t="s">
        <v>255</v>
      </c>
      <c r="AH49" s="76"/>
      <c r="AK49" s="71" t="s">
        <v>206</v>
      </c>
      <c r="AL49" s="75" t="s">
        <v>207</v>
      </c>
      <c r="AM49" s="71"/>
      <c r="AN49" s="71"/>
      <c r="AO49" s="71" t="s">
        <v>242</v>
      </c>
      <c r="AP49" s="71" t="s">
        <v>243</v>
      </c>
      <c r="AQ49" s="71"/>
      <c r="AS49" s="71" t="s">
        <v>208</v>
      </c>
      <c r="AT49" s="75" t="s">
        <v>278</v>
      </c>
      <c r="AV49" s="75" t="s">
        <v>218</v>
      </c>
      <c r="AX49" s="75" t="str">
        <f t="shared" si="3"/>
        <v/>
      </c>
      <c r="BP49" s="71"/>
      <c r="BQ49" s="71"/>
      <c r="BR49" s="71"/>
      <c r="BS49" s="71"/>
      <c r="BT49" s="71"/>
      <c r="BV49" s="71" t="s">
        <v>536</v>
      </c>
    </row>
    <row r="50" spans="1:74" ht="13.5" customHeight="1" x14ac:dyDescent="0.25">
      <c r="A50" s="70">
        <v>2977741</v>
      </c>
      <c r="B50" s="71" t="s">
        <v>245</v>
      </c>
      <c r="C50" s="71">
        <v>31</v>
      </c>
      <c r="D50" s="72" t="s">
        <v>101</v>
      </c>
      <c r="E50" s="73" t="s">
        <v>97</v>
      </c>
      <c r="F50" s="74">
        <f t="shared" si="2"/>
        <v>46066</v>
      </c>
      <c r="G50" s="73" t="s">
        <v>98</v>
      </c>
      <c r="H50" s="73" t="s">
        <v>295</v>
      </c>
      <c r="I50" s="71" t="s">
        <v>295</v>
      </c>
      <c r="J50" s="71" t="s">
        <v>221</v>
      </c>
      <c r="M50" s="70" t="s">
        <v>296</v>
      </c>
      <c r="N50" s="71" t="s">
        <v>287</v>
      </c>
      <c r="P50" s="72" t="s">
        <v>218</v>
      </c>
      <c r="Q50" s="73" t="s">
        <v>297</v>
      </c>
      <c r="R50" s="71" t="s">
        <v>294</v>
      </c>
      <c r="S50" s="75" t="s">
        <v>209</v>
      </c>
      <c r="T50" s="75" t="s">
        <v>251</v>
      </c>
      <c r="U50" s="75" t="s">
        <v>200</v>
      </c>
      <c r="V50" s="71" t="s">
        <v>201</v>
      </c>
      <c r="W50" s="75" t="s">
        <v>204</v>
      </c>
      <c r="X50" s="71" t="s">
        <v>275</v>
      </c>
      <c r="Y50" s="75" t="s">
        <v>208</v>
      </c>
      <c r="Z50" s="71" t="s">
        <v>298</v>
      </c>
      <c r="AA50" s="71" t="s">
        <v>202</v>
      </c>
      <c r="AB50" s="71" t="s">
        <v>250</v>
      </c>
      <c r="AC50" s="75" t="s">
        <v>196</v>
      </c>
      <c r="AD50" s="71" t="s">
        <v>267</v>
      </c>
      <c r="AE50" s="71" t="s">
        <v>198</v>
      </c>
      <c r="AF50" s="71" t="s">
        <v>199</v>
      </c>
      <c r="AG50" s="71" t="s">
        <v>254</v>
      </c>
      <c r="AH50" s="76" t="s">
        <v>276</v>
      </c>
      <c r="AK50" s="71"/>
      <c r="AL50" s="75" t="s">
        <v>218</v>
      </c>
      <c r="AM50" s="71"/>
      <c r="AN50" s="71"/>
      <c r="AO50" s="71" t="s">
        <v>206</v>
      </c>
      <c r="AP50" s="71" t="s">
        <v>227</v>
      </c>
      <c r="AQ50" s="71"/>
      <c r="AS50" s="71"/>
      <c r="AT50" s="75" t="s">
        <v>218</v>
      </c>
      <c r="AV50" s="75" t="s">
        <v>218</v>
      </c>
      <c r="AW50" s="75" t="s">
        <v>242</v>
      </c>
      <c r="AX50" s="75" t="str">
        <f t="shared" si="3"/>
        <v>LAURA SOFIA PAEZ GALLO</v>
      </c>
      <c r="BP50" s="71"/>
      <c r="BQ50" s="71"/>
      <c r="BR50" s="71"/>
      <c r="BS50" s="71"/>
      <c r="BT50" s="71"/>
      <c r="BV50" s="71" t="s">
        <v>536</v>
      </c>
    </row>
    <row r="51" spans="1:74" ht="13.5" customHeight="1" x14ac:dyDescent="0.25">
      <c r="A51" s="70">
        <v>2977742</v>
      </c>
      <c r="B51" s="71" t="s">
        <v>245</v>
      </c>
      <c r="C51" s="71">
        <v>39</v>
      </c>
      <c r="D51" s="72" t="s">
        <v>101</v>
      </c>
      <c r="E51" s="73" t="s">
        <v>97</v>
      </c>
      <c r="F51" s="74">
        <f t="shared" si="2"/>
        <v>46066</v>
      </c>
      <c r="G51" s="73" t="s">
        <v>98</v>
      </c>
      <c r="H51" s="73" t="s">
        <v>295</v>
      </c>
      <c r="I51" s="71" t="s">
        <v>295</v>
      </c>
      <c r="J51" s="71" t="s">
        <v>221</v>
      </c>
      <c r="M51" s="70" t="s">
        <v>296</v>
      </c>
      <c r="N51" s="71" t="s">
        <v>287</v>
      </c>
      <c r="P51" s="72" t="s">
        <v>218</v>
      </c>
      <c r="Q51" s="73" t="s">
        <v>297</v>
      </c>
      <c r="R51" s="71" t="s">
        <v>294</v>
      </c>
      <c r="S51" s="75" t="s">
        <v>209</v>
      </c>
      <c r="T51" s="75" t="s">
        <v>251</v>
      </c>
      <c r="U51" s="75" t="s">
        <v>200</v>
      </c>
      <c r="V51" s="71" t="s">
        <v>220</v>
      </c>
      <c r="W51" s="75" t="s">
        <v>204</v>
      </c>
      <c r="X51" s="71" t="s">
        <v>275</v>
      </c>
      <c r="Y51" s="75" t="s">
        <v>208</v>
      </c>
      <c r="Z51" s="71" t="s">
        <v>239</v>
      </c>
      <c r="AA51" s="71" t="s">
        <v>202</v>
      </c>
      <c r="AB51" s="71" t="s">
        <v>256</v>
      </c>
      <c r="AC51" s="75"/>
      <c r="AE51" s="71" t="s">
        <v>242</v>
      </c>
      <c r="AF51" s="71" t="s">
        <v>243</v>
      </c>
      <c r="AG51" s="71" t="s">
        <v>198</v>
      </c>
      <c r="AH51" s="76" t="s">
        <v>299</v>
      </c>
      <c r="AK51" s="71" t="s">
        <v>196</v>
      </c>
      <c r="AL51" s="75" t="s">
        <v>219</v>
      </c>
      <c r="AM51" s="71"/>
      <c r="AN51" s="71"/>
      <c r="AO51" s="71"/>
      <c r="AP51" s="71"/>
      <c r="AQ51" s="71"/>
      <c r="AS51" s="71"/>
      <c r="AT51" s="75" t="s">
        <v>218</v>
      </c>
      <c r="AV51" s="75" t="s">
        <v>218</v>
      </c>
      <c r="AW51" s="75" t="s">
        <v>206</v>
      </c>
      <c r="AX51" s="75" t="str">
        <f t="shared" si="3"/>
        <v>JORGE IVAN PEREZ GAITAN</v>
      </c>
      <c r="BA51" s="75" t="s">
        <v>254</v>
      </c>
      <c r="BB51" s="75" t="str">
        <f>VLOOKUP(A51,_p8_2025,2,FALSE)</f>
        <v>CINDY YOHANA BOHORQUEZ GARZON</v>
      </c>
      <c r="BP51" s="71"/>
      <c r="BQ51" s="71"/>
      <c r="BR51" s="71"/>
      <c r="BS51" s="71"/>
      <c r="BT51" s="71"/>
      <c r="BV51" s="71" t="s">
        <v>536</v>
      </c>
    </row>
    <row r="52" spans="1:74" ht="13.5" customHeight="1" x14ac:dyDescent="0.25">
      <c r="A52" s="70">
        <v>2977743</v>
      </c>
      <c r="B52" s="71" t="s">
        <v>245</v>
      </c>
      <c r="C52" s="71">
        <v>33</v>
      </c>
      <c r="D52" s="72" t="s">
        <v>101</v>
      </c>
      <c r="E52" s="73" t="s">
        <v>97</v>
      </c>
      <c r="F52" s="74">
        <f t="shared" si="2"/>
        <v>46066</v>
      </c>
      <c r="G52" s="73" t="s">
        <v>98</v>
      </c>
      <c r="H52" s="73" t="s">
        <v>295</v>
      </c>
      <c r="I52" s="71" t="s">
        <v>295</v>
      </c>
      <c r="J52" s="71" t="s">
        <v>221</v>
      </c>
      <c r="M52" s="70" t="s">
        <v>296</v>
      </c>
      <c r="N52" s="71" t="s">
        <v>300</v>
      </c>
      <c r="O52" s="71" t="s">
        <v>233</v>
      </c>
      <c r="P52" s="72" t="s">
        <v>218</v>
      </c>
      <c r="Q52" s="73" t="s">
        <v>297</v>
      </c>
      <c r="R52" s="71" t="s">
        <v>294</v>
      </c>
      <c r="S52" s="75" t="s">
        <v>209</v>
      </c>
      <c r="T52" s="75" t="s">
        <v>251</v>
      </c>
      <c r="U52" s="75" t="s">
        <v>254</v>
      </c>
      <c r="V52" s="71" t="s">
        <v>276</v>
      </c>
      <c r="W52" s="75" t="s">
        <v>204</v>
      </c>
      <c r="X52" s="71" t="s">
        <v>258</v>
      </c>
      <c r="Y52" s="75" t="s">
        <v>208</v>
      </c>
      <c r="Z52" s="71" t="s">
        <v>239</v>
      </c>
      <c r="AA52" s="71" t="s">
        <v>202</v>
      </c>
      <c r="AB52" s="71" t="s">
        <v>250</v>
      </c>
      <c r="AC52" s="75"/>
      <c r="AE52" s="71" t="s">
        <v>242</v>
      </c>
      <c r="AF52" s="71" t="s">
        <v>243</v>
      </c>
      <c r="AG52" s="71" t="s">
        <v>200</v>
      </c>
      <c r="AH52" s="76" t="s">
        <v>220</v>
      </c>
      <c r="AK52" s="71" t="s">
        <v>196</v>
      </c>
      <c r="AL52" s="75" t="s">
        <v>267</v>
      </c>
      <c r="AM52" s="71"/>
      <c r="AN52" s="71"/>
      <c r="AO52" s="71"/>
      <c r="AP52" s="71"/>
      <c r="AQ52" s="71"/>
      <c r="AS52" s="71"/>
      <c r="AT52" s="75" t="s">
        <v>218</v>
      </c>
      <c r="AV52" s="75" t="s">
        <v>218</v>
      </c>
      <c r="AW52" s="75" t="s">
        <v>198</v>
      </c>
      <c r="AX52" s="75" t="str">
        <f t="shared" si="3"/>
        <v>SONIA PATRICIA CASTAÑEDA CAYCEDO</v>
      </c>
      <c r="BA52" s="75" t="s">
        <v>206</v>
      </c>
      <c r="BB52" s="75" t="str">
        <f>VLOOKUP(A52,_p8_2025,2,FALSE)</f>
        <v>JORGE IVAN PEREZ GAITAN</v>
      </c>
      <c r="BP52" s="71"/>
      <c r="BQ52" s="71"/>
      <c r="BR52" s="71"/>
      <c r="BS52" s="71"/>
      <c r="BT52" s="71"/>
      <c r="BU52" s="71">
        <v>10</v>
      </c>
      <c r="BV52" s="71" t="s">
        <v>534</v>
      </c>
    </row>
    <row r="53" spans="1:74" ht="13.5" customHeight="1" x14ac:dyDescent="0.25">
      <c r="A53" s="70">
        <v>2977744</v>
      </c>
      <c r="B53" s="71" t="s">
        <v>245</v>
      </c>
      <c r="C53" s="71">
        <v>36</v>
      </c>
      <c r="D53" s="72" t="s">
        <v>101</v>
      </c>
      <c r="E53" s="73" t="s">
        <v>97</v>
      </c>
      <c r="F53" s="74">
        <f t="shared" si="2"/>
        <v>46066</v>
      </c>
      <c r="G53" s="73" t="s">
        <v>98</v>
      </c>
      <c r="H53" s="73" t="s">
        <v>295</v>
      </c>
      <c r="I53" s="71" t="s">
        <v>295</v>
      </c>
      <c r="J53" s="71" t="s">
        <v>221</v>
      </c>
      <c r="M53" s="70" t="s">
        <v>296</v>
      </c>
      <c r="N53" s="71" t="s">
        <v>301</v>
      </c>
      <c r="O53" s="71" t="s">
        <v>233</v>
      </c>
      <c r="P53" s="72" t="s">
        <v>218</v>
      </c>
      <c r="Q53" s="73" t="s">
        <v>297</v>
      </c>
      <c r="R53" s="71" t="s">
        <v>294</v>
      </c>
      <c r="S53" s="75" t="s">
        <v>209</v>
      </c>
      <c r="T53" s="75" t="s">
        <v>226</v>
      </c>
      <c r="U53" s="75" t="s">
        <v>254</v>
      </c>
      <c r="V53" s="71" t="s">
        <v>255</v>
      </c>
      <c r="W53" s="75" t="s">
        <v>204</v>
      </c>
      <c r="X53" s="71" t="s">
        <v>265</v>
      </c>
      <c r="Y53" s="75" t="s">
        <v>208</v>
      </c>
      <c r="Z53" s="71" t="s">
        <v>239</v>
      </c>
      <c r="AA53" s="71" t="s">
        <v>202</v>
      </c>
      <c r="AB53" s="71" t="s">
        <v>256</v>
      </c>
      <c r="AC53" s="75"/>
      <c r="AE53" s="71" t="s">
        <v>242</v>
      </c>
      <c r="AF53" s="71" t="s">
        <v>243</v>
      </c>
      <c r="AG53" s="71" t="s">
        <v>200</v>
      </c>
      <c r="AH53" s="76" t="s">
        <v>214</v>
      </c>
      <c r="AK53" s="71" t="s">
        <v>196</v>
      </c>
      <c r="AL53" s="75" t="s">
        <v>219</v>
      </c>
      <c r="AM53" s="71"/>
      <c r="AN53" s="71"/>
      <c r="AO53" s="71"/>
      <c r="AP53" s="71"/>
      <c r="AQ53" s="71"/>
      <c r="AS53" s="71"/>
      <c r="AT53" s="75" t="s">
        <v>218</v>
      </c>
      <c r="AV53" s="75" t="s">
        <v>218</v>
      </c>
      <c r="AW53" s="75" t="s">
        <v>198</v>
      </c>
      <c r="AX53" s="75" t="str">
        <f t="shared" si="3"/>
        <v>SONIA PATRICIA CASTAÑEDA CAYCEDO</v>
      </c>
      <c r="BA53" s="75" t="s">
        <v>206</v>
      </c>
      <c r="BB53" s="75" t="str">
        <f>VLOOKUP(A53,_p8_2025,2,FALSE)</f>
        <v>DEISY JULIETH GARCIA CASTAÑEDA</v>
      </c>
      <c r="BP53" s="71"/>
      <c r="BQ53" s="71"/>
      <c r="BR53" s="71"/>
      <c r="BS53" s="71"/>
      <c r="BT53" s="71"/>
      <c r="BU53" s="71">
        <v>10</v>
      </c>
      <c r="BV53" s="71" t="s">
        <v>534</v>
      </c>
    </row>
    <row r="54" spans="1:74" ht="13.5" customHeight="1" x14ac:dyDescent="0.25">
      <c r="A54" s="70">
        <v>2977745</v>
      </c>
      <c r="B54" s="71" t="s">
        <v>245</v>
      </c>
      <c r="C54" s="71">
        <v>36</v>
      </c>
      <c r="D54" s="72" t="s">
        <v>101</v>
      </c>
      <c r="E54" s="73" t="s">
        <v>97</v>
      </c>
      <c r="F54" s="74">
        <f t="shared" si="2"/>
        <v>46066</v>
      </c>
      <c r="G54" s="73" t="s">
        <v>98</v>
      </c>
      <c r="H54" s="73" t="s">
        <v>295</v>
      </c>
      <c r="I54" s="71" t="s">
        <v>295</v>
      </c>
      <c r="J54" s="71" t="s">
        <v>221</v>
      </c>
      <c r="M54" s="70" t="s">
        <v>296</v>
      </c>
      <c r="N54" s="71" t="s">
        <v>301</v>
      </c>
      <c r="O54" s="71" t="s">
        <v>233</v>
      </c>
      <c r="P54" s="72" t="s">
        <v>218</v>
      </c>
      <c r="Q54" s="73" t="s">
        <v>297</v>
      </c>
      <c r="R54" s="71" t="s">
        <v>294</v>
      </c>
      <c r="S54" s="75" t="s">
        <v>209</v>
      </c>
      <c r="T54" s="75" t="s">
        <v>236</v>
      </c>
      <c r="U54" s="75" t="s">
        <v>254</v>
      </c>
      <c r="V54" s="71" t="s">
        <v>255</v>
      </c>
      <c r="W54" s="75" t="s">
        <v>204</v>
      </c>
      <c r="X54" s="71" t="s">
        <v>221</v>
      </c>
      <c r="Y54" s="75" t="s">
        <v>198</v>
      </c>
      <c r="Z54" s="71" t="s">
        <v>199</v>
      </c>
      <c r="AA54" s="71" t="s">
        <v>202</v>
      </c>
      <c r="AB54" s="71" t="s">
        <v>216</v>
      </c>
      <c r="AC54" s="75" t="s">
        <v>196</v>
      </c>
      <c r="AD54" s="71" t="s">
        <v>267</v>
      </c>
      <c r="AE54" s="71" t="s">
        <v>200</v>
      </c>
      <c r="AF54" s="71" t="s">
        <v>201</v>
      </c>
      <c r="AG54" s="71" t="s">
        <v>242</v>
      </c>
      <c r="AH54" s="76" t="s">
        <v>243</v>
      </c>
      <c r="AK54" s="71" t="s">
        <v>206</v>
      </c>
      <c r="AL54" s="75" t="s">
        <v>207</v>
      </c>
      <c r="AM54" s="71"/>
      <c r="AN54" s="71"/>
      <c r="AO54" s="71" t="s">
        <v>208</v>
      </c>
      <c r="AP54" s="71" t="s">
        <v>278</v>
      </c>
      <c r="AQ54" s="71"/>
      <c r="AS54" s="71"/>
      <c r="AT54" s="75" t="s">
        <v>218</v>
      </c>
      <c r="AV54" s="75" t="s">
        <v>218</v>
      </c>
      <c r="AX54" s="75" t="str">
        <f t="shared" si="3"/>
        <v/>
      </c>
      <c r="BP54" s="71"/>
      <c r="BQ54" s="71"/>
      <c r="BR54" s="71"/>
      <c r="BS54" s="71"/>
      <c r="BT54" s="71"/>
      <c r="BU54" s="71">
        <v>10</v>
      </c>
      <c r="BV54" s="71" t="s">
        <v>534</v>
      </c>
    </row>
    <row r="55" spans="1:74" ht="13.5" customHeight="1" x14ac:dyDescent="0.25">
      <c r="A55" s="70">
        <v>2977746</v>
      </c>
      <c r="B55" s="71" t="s">
        <v>245</v>
      </c>
      <c r="C55" s="71">
        <v>42</v>
      </c>
      <c r="D55" s="72" t="s">
        <v>101</v>
      </c>
      <c r="E55" s="73" t="s">
        <v>97</v>
      </c>
      <c r="F55" s="74">
        <f t="shared" si="2"/>
        <v>46066</v>
      </c>
      <c r="G55" s="73" t="s">
        <v>98</v>
      </c>
      <c r="H55" s="73" t="s">
        <v>302</v>
      </c>
      <c r="I55" s="71" t="s">
        <v>302</v>
      </c>
      <c r="J55" s="71" t="s">
        <v>221</v>
      </c>
      <c r="M55" s="70" t="s">
        <v>302</v>
      </c>
      <c r="N55" s="71" t="s">
        <v>301</v>
      </c>
      <c r="O55" s="71" t="s">
        <v>233</v>
      </c>
      <c r="P55" s="72" t="s">
        <v>218</v>
      </c>
      <c r="Q55" s="73" t="s">
        <v>297</v>
      </c>
      <c r="R55" s="71" t="s">
        <v>294</v>
      </c>
      <c r="S55" s="75" t="s">
        <v>202</v>
      </c>
      <c r="T55" s="75" t="s">
        <v>250</v>
      </c>
      <c r="U55" s="75" t="s">
        <v>209</v>
      </c>
      <c r="V55" s="71" t="s">
        <v>251</v>
      </c>
      <c r="W55" s="75" t="s">
        <v>204</v>
      </c>
      <c r="X55" s="71" t="s">
        <v>258</v>
      </c>
      <c r="Y55" s="75" t="s">
        <v>254</v>
      </c>
      <c r="Z55" s="71" t="s">
        <v>288</v>
      </c>
      <c r="AA55" s="71" t="s">
        <v>196</v>
      </c>
      <c r="AB55" s="71" t="s">
        <v>267</v>
      </c>
      <c r="AC55" s="75" t="s">
        <v>198</v>
      </c>
      <c r="AD55" s="71" t="s">
        <v>225</v>
      </c>
      <c r="AE55" s="71" t="s">
        <v>200</v>
      </c>
      <c r="AF55" s="71" t="s">
        <v>201</v>
      </c>
      <c r="AH55" s="76"/>
      <c r="AK55" s="71" t="s">
        <v>206</v>
      </c>
      <c r="AL55" s="75" t="s">
        <v>227</v>
      </c>
      <c r="AM55" s="71"/>
      <c r="AN55" s="71"/>
      <c r="AO55" s="71" t="s">
        <v>242</v>
      </c>
      <c r="AP55" s="71" t="s">
        <v>243</v>
      </c>
      <c r="AQ55" s="71"/>
      <c r="AS55" s="71" t="s">
        <v>208</v>
      </c>
      <c r="AT55" s="75" t="s">
        <v>278</v>
      </c>
      <c r="AV55" s="75" t="s">
        <v>218</v>
      </c>
      <c r="AX55" s="75" t="str">
        <f t="shared" si="3"/>
        <v/>
      </c>
      <c r="BP55" s="71"/>
      <c r="BQ55" s="71"/>
      <c r="BR55" s="71"/>
      <c r="BS55" s="71"/>
      <c r="BT55" s="71"/>
      <c r="BU55" s="71">
        <v>10</v>
      </c>
      <c r="BV55" s="71" t="s">
        <v>534</v>
      </c>
    </row>
    <row r="56" spans="1:74" ht="13.5" customHeight="1" x14ac:dyDescent="0.25">
      <c r="A56" s="70">
        <v>2977747</v>
      </c>
      <c r="B56" s="71" t="s">
        <v>245</v>
      </c>
      <c r="C56" s="71">
        <v>40</v>
      </c>
      <c r="D56" s="72" t="s">
        <v>101</v>
      </c>
      <c r="E56" s="73" t="s">
        <v>97</v>
      </c>
      <c r="F56" s="74">
        <f t="shared" si="2"/>
        <v>46066</v>
      </c>
      <c r="G56" s="73" t="s">
        <v>98</v>
      </c>
      <c r="H56" s="73" t="s">
        <v>302</v>
      </c>
      <c r="I56" s="71" t="s">
        <v>302</v>
      </c>
      <c r="J56" s="71" t="s">
        <v>221</v>
      </c>
      <c r="M56" s="70" t="s">
        <v>302</v>
      </c>
      <c r="N56" s="71" t="s">
        <v>300</v>
      </c>
      <c r="O56" s="71" t="s">
        <v>233</v>
      </c>
      <c r="P56" s="72" t="s">
        <v>218</v>
      </c>
      <c r="Q56" s="73" t="s">
        <v>297</v>
      </c>
      <c r="R56" s="71" t="s">
        <v>294</v>
      </c>
      <c r="S56" s="75" t="s">
        <v>202</v>
      </c>
      <c r="T56" s="75" t="s">
        <v>256</v>
      </c>
      <c r="U56" s="75" t="s">
        <v>209</v>
      </c>
      <c r="V56" s="71" t="s">
        <v>236</v>
      </c>
      <c r="W56" s="75" t="s">
        <v>200</v>
      </c>
      <c r="X56" s="71" t="s">
        <v>201</v>
      </c>
      <c r="Y56" s="75" t="s">
        <v>204</v>
      </c>
      <c r="Z56" s="71" t="s">
        <v>275</v>
      </c>
      <c r="AA56" s="71" t="s">
        <v>254</v>
      </c>
      <c r="AB56" s="71" t="s">
        <v>276</v>
      </c>
      <c r="AC56" s="75"/>
      <c r="AE56" s="71" t="s">
        <v>242</v>
      </c>
      <c r="AF56" s="71" t="s">
        <v>243</v>
      </c>
      <c r="AG56" s="71" t="s">
        <v>198</v>
      </c>
      <c r="AH56" s="76" t="s">
        <v>253</v>
      </c>
      <c r="AK56" s="71" t="s">
        <v>208</v>
      </c>
      <c r="AL56" s="75" t="s">
        <v>303</v>
      </c>
      <c r="AM56" s="71"/>
      <c r="AN56" s="71"/>
      <c r="AO56" s="71" t="s">
        <v>206</v>
      </c>
      <c r="AP56" s="71" t="s">
        <v>207</v>
      </c>
      <c r="AQ56" s="71"/>
      <c r="AS56" s="71"/>
      <c r="AT56" s="75" t="s">
        <v>218</v>
      </c>
      <c r="AV56" s="75" t="s">
        <v>218</v>
      </c>
      <c r="AX56" s="75" t="str">
        <f t="shared" si="3"/>
        <v/>
      </c>
      <c r="BA56" s="75" t="s">
        <v>196</v>
      </c>
      <c r="BB56" s="75" t="str">
        <f>VLOOKUP(A56,_p8_2025,2,FALSE)</f>
        <v>CESAR AUGUSTO BERMEO</v>
      </c>
      <c r="BP56" s="71"/>
      <c r="BQ56" s="71"/>
      <c r="BR56" s="71"/>
      <c r="BS56" s="71"/>
      <c r="BT56" s="71"/>
      <c r="BU56" s="71">
        <v>10</v>
      </c>
      <c r="BV56" s="71" t="s">
        <v>534</v>
      </c>
    </row>
    <row r="57" spans="1:74" ht="13.5" customHeight="1" x14ac:dyDescent="0.25">
      <c r="A57" s="70">
        <v>2977748</v>
      </c>
      <c r="B57" s="71" t="s">
        <v>245</v>
      </c>
      <c r="C57" s="71">
        <v>41</v>
      </c>
      <c r="D57" s="72" t="s">
        <v>101</v>
      </c>
      <c r="E57" s="73" t="s">
        <v>97</v>
      </c>
      <c r="F57" s="74">
        <f t="shared" si="2"/>
        <v>46066</v>
      </c>
      <c r="G57" s="73" t="s">
        <v>98</v>
      </c>
      <c r="H57" s="73" t="s">
        <v>302</v>
      </c>
      <c r="I57" s="71" t="s">
        <v>302</v>
      </c>
      <c r="J57" s="71" t="s">
        <v>221</v>
      </c>
      <c r="M57" s="70" t="s">
        <v>302</v>
      </c>
      <c r="N57" s="71" t="s">
        <v>304</v>
      </c>
      <c r="P57" s="72" t="s">
        <v>218</v>
      </c>
      <c r="Q57" s="73" t="s">
        <v>297</v>
      </c>
      <c r="R57" s="71" t="s">
        <v>294</v>
      </c>
      <c r="S57" s="75" t="s">
        <v>202</v>
      </c>
      <c r="T57" s="75" t="s">
        <v>216</v>
      </c>
      <c r="U57" s="75" t="s">
        <v>209</v>
      </c>
      <c r="V57" s="71" t="s">
        <v>251</v>
      </c>
      <c r="W57" s="75" t="s">
        <v>198</v>
      </c>
      <c r="X57" s="71" t="s">
        <v>305</v>
      </c>
      <c r="Y57" s="75" t="s">
        <v>204</v>
      </c>
      <c r="Z57" s="71" t="s">
        <v>258</v>
      </c>
      <c r="AA57" s="71" t="s">
        <v>254</v>
      </c>
      <c r="AB57" s="71" t="s">
        <v>288</v>
      </c>
      <c r="AC57" s="75"/>
      <c r="AE57" s="71" t="s">
        <v>242</v>
      </c>
      <c r="AF57" s="71" t="s">
        <v>243</v>
      </c>
      <c r="AG57" s="71" t="s">
        <v>196</v>
      </c>
      <c r="AH57" s="76" t="s">
        <v>267</v>
      </c>
      <c r="AK57" s="71" t="s">
        <v>208</v>
      </c>
      <c r="AL57" s="75" t="s">
        <v>303</v>
      </c>
      <c r="AM57" s="71"/>
      <c r="AN57" s="71"/>
      <c r="AO57" s="71" t="s">
        <v>206</v>
      </c>
      <c r="AP57" s="71" t="s">
        <v>213</v>
      </c>
      <c r="AQ57" s="71"/>
      <c r="AS57" s="71"/>
      <c r="AT57" s="75" t="s">
        <v>218</v>
      </c>
      <c r="AV57" s="75" t="s">
        <v>218</v>
      </c>
      <c r="AW57" s="75" t="s">
        <v>200</v>
      </c>
      <c r="AX57" s="75" t="str">
        <f t="shared" si="3"/>
        <v>JULIANA HERNANDEZ BARRERA</v>
      </c>
      <c r="BP57" s="71"/>
      <c r="BQ57" s="71"/>
      <c r="BR57" s="71"/>
      <c r="BS57" s="71"/>
      <c r="BT57" s="71"/>
      <c r="BV57" s="71" t="s">
        <v>536</v>
      </c>
    </row>
    <row r="58" spans="1:74" ht="13.5" customHeight="1" x14ac:dyDescent="0.25">
      <c r="A58" s="70">
        <v>2977749</v>
      </c>
      <c r="B58" s="71" t="s">
        <v>245</v>
      </c>
      <c r="C58" s="71">
        <v>40</v>
      </c>
      <c r="D58" s="72" t="s">
        <v>101</v>
      </c>
      <c r="E58" s="73" t="s">
        <v>97</v>
      </c>
      <c r="F58" s="74">
        <f t="shared" si="2"/>
        <v>46066</v>
      </c>
      <c r="G58" s="73" t="s">
        <v>98</v>
      </c>
      <c r="H58" s="73" t="s">
        <v>302</v>
      </c>
      <c r="I58" s="71" t="s">
        <v>302</v>
      </c>
      <c r="J58" s="71" t="s">
        <v>221</v>
      </c>
      <c r="M58" s="70" t="s">
        <v>302</v>
      </c>
      <c r="N58" s="71" t="s">
        <v>304</v>
      </c>
      <c r="P58" s="72" t="s">
        <v>218</v>
      </c>
      <c r="Q58" s="73" t="s">
        <v>297</v>
      </c>
      <c r="R58" s="71" t="s">
        <v>294</v>
      </c>
      <c r="S58" s="75" t="s">
        <v>202</v>
      </c>
      <c r="T58" s="75" t="s">
        <v>250</v>
      </c>
      <c r="U58" s="75" t="s">
        <v>209</v>
      </c>
      <c r="V58" s="71" t="s">
        <v>236</v>
      </c>
      <c r="W58" s="75" t="s">
        <v>198</v>
      </c>
      <c r="X58" s="71" t="s">
        <v>264</v>
      </c>
      <c r="Y58" s="75" t="s">
        <v>204</v>
      </c>
      <c r="Z58" s="71" t="s">
        <v>269</v>
      </c>
      <c r="AA58" s="71" t="s">
        <v>254</v>
      </c>
      <c r="AB58" s="71" t="s">
        <v>288</v>
      </c>
      <c r="AC58" s="75" t="s">
        <v>196</v>
      </c>
      <c r="AD58" s="71" t="s">
        <v>267</v>
      </c>
      <c r="AE58" s="71" t="s">
        <v>200</v>
      </c>
      <c r="AF58" s="71" t="s">
        <v>201</v>
      </c>
      <c r="AH58" s="76"/>
      <c r="AK58" s="71" t="s">
        <v>206</v>
      </c>
      <c r="AL58" s="75" t="s">
        <v>207</v>
      </c>
      <c r="AM58" s="71"/>
      <c r="AN58" s="71"/>
      <c r="AO58" s="71" t="s">
        <v>242</v>
      </c>
      <c r="AP58" s="71" t="s">
        <v>243</v>
      </c>
      <c r="AQ58" s="71"/>
      <c r="AS58" s="71" t="s">
        <v>208</v>
      </c>
      <c r="AT58" s="75" t="s">
        <v>239</v>
      </c>
      <c r="AV58" s="75" t="s">
        <v>218</v>
      </c>
      <c r="AX58" s="75" t="str">
        <f t="shared" si="3"/>
        <v/>
      </c>
      <c r="BP58" s="71"/>
      <c r="BQ58" s="71"/>
      <c r="BR58" s="71"/>
      <c r="BS58" s="71"/>
      <c r="BT58" s="71"/>
      <c r="BV58" s="71" t="s">
        <v>536</v>
      </c>
    </row>
    <row r="59" spans="1:74" ht="13.5" customHeight="1" x14ac:dyDescent="0.25">
      <c r="A59" s="70">
        <v>2977750</v>
      </c>
      <c r="B59" s="71" t="s">
        <v>245</v>
      </c>
      <c r="C59" s="71">
        <v>42</v>
      </c>
      <c r="D59" s="72" t="s">
        <v>101</v>
      </c>
      <c r="E59" s="73" t="s">
        <v>97</v>
      </c>
      <c r="F59" s="74">
        <f t="shared" si="2"/>
        <v>46066</v>
      </c>
      <c r="G59" s="73" t="s">
        <v>98</v>
      </c>
      <c r="H59" s="73" t="s">
        <v>302</v>
      </c>
      <c r="I59" s="71" t="s">
        <v>302</v>
      </c>
      <c r="J59" s="71" t="s">
        <v>221</v>
      </c>
      <c r="M59" s="70" t="s">
        <v>302</v>
      </c>
      <c r="N59" s="71" t="s">
        <v>192</v>
      </c>
      <c r="O59" s="71" t="s">
        <v>192</v>
      </c>
      <c r="P59" s="72" t="s">
        <v>218</v>
      </c>
      <c r="Q59" s="73" t="s">
        <v>297</v>
      </c>
      <c r="R59" s="71" t="s">
        <v>294</v>
      </c>
      <c r="S59" s="75" t="s">
        <v>202</v>
      </c>
      <c r="T59" s="75" t="s">
        <v>216</v>
      </c>
      <c r="U59" s="75" t="s">
        <v>209</v>
      </c>
      <c r="V59" s="71" t="s">
        <v>226</v>
      </c>
      <c r="W59" s="75" t="s">
        <v>198</v>
      </c>
      <c r="X59" s="71" t="s">
        <v>299</v>
      </c>
      <c r="Y59" s="75" t="s">
        <v>204</v>
      </c>
      <c r="Z59" s="71" t="s">
        <v>275</v>
      </c>
      <c r="AA59" s="71" t="s">
        <v>254</v>
      </c>
      <c r="AB59" s="71" t="s">
        <v>288</v>
      </c>
      <c r="AC59" s="75" t="s">
        <v>196</v>
      </c>
      <c r="AD59" s="71" t="s">
        <v>267</v>
      </c>
      <c r="AE59" s="71" t="s">
        <v>200</v>
      </c>
      <c r="AF59" s="71" t="s">
        <v>220</v>
      </c>
      <c r="AH59" s="76"/>
      <c r="AK59" s="71" t="s">
        <v>206</v>
      </c>
      <c r="AL59" s="75" t="s">
        <v>227</v>
      </c>
      <c r="AM59" s="71"/>
      <c r="AN59" s="71"/>
      <c r="AO59" s="71" t="s">
        <v>242</v>
      </c>
      <c r="AP59" s="71" t="s">
        <v>243</v>
      </c>
      <c r="AQ59" s="71"/>
      <c r="AS59" s="71" t="s">
        <v>208</v>
      </c>
      <c r="AT59" s="75" t="s">
        <v>235</v>
      </c>
      <c r="AV59" s="75" t="s">
        <v>218</v>
      </c>
      <c r="AX59" s="75" t="str">
        <f t="shared" si="3"/>
        <v/>
      </c>
      <c r="BP59" s="71"/>
      <c r="BQ59" s="71"/>
      <c r="BR59" s="71"/>
      <c r="BS59" s="71"/>
      <c r="BT59" s="71"/>
      <c r="BU59" s="71">
        <v>15</v>
      </c>
      <c r="BV59" s="71" t="s">
        <v>534</v>
      </c>
    </row>
    <row r="60" spans="1:74" ht="13.5" customHeight="1" x14ac:dyDescent="0.25">
      <c r="A60" s="70">
        <v>2977751</v>
      </c>
      <c r="B60" s="71" t="s">
        <v>245</v>
      </c>
      <c r="C60" s="71">
        <v>32</v>
      </c>
      <c r="D60" s="72" t="s">
        <v>101</v>
      </c>
      <c r="E60" s="73" t="s">
        <v>97</v>
      </c>
      <c r="F60" s="74">
        <f t="shared" si="2"/>
        <v>46066</v>
      </c>
      <c r="G60" s="73" t="s">
        <v>98</v>
      </c>
      <c r="H60" s="73" t="s">
        <v>306</v>
      </c>
      <c r="I60" s="71" t="s">
        <v>306</v>
      </c>
      <c r="J60" s="71" t="s">
        <v>221</v>
      </c>
      <c r="M60" s="70" t="s">
        <v>306</v>
      </c>
      <c r="N60" s="71" t="s">
        <v>307</v>
      </c>
      <c r="P60" s="72" t="s">
        <v>218</v>
      </c>
      <c r="Q60" s="73" t="s">
        <v>297</v>
      </c>
      <c r="R60" s="71" t="s">
        <v>294</v>
      </c>
      <c r="S60" s="75" t="s">
        <v>202</v>
      </c>
      <c r="T60" s="75" t="s">
        <v>216</v>
      </c>
      <c r="U60" s="75" t="s">
        <v>209</v>
      </c>
      <c r="V60" s="71" t="s">
        <v>226</v>
      </c>
      <c r="W60" s="75" t="s">
        <v>198</v>
      </c>
      <c r="X60" s="71" t="s">
        <v>308</v>
      </c>
      <c r="Y60" s="75" t="s">
        <v>204</v>
      </c>
      <c r="Z60" s="71" t="s">
        <v>269</v>
      </c>
      <c r="AA60" s="71" t="s">
        <v>254</v>
      </c>
      <c r="AB60" s="71" t="s">
        <v>255</v>
      </c>
      <c r="AC60" s="75"/>
      <c r="AE60" s="71" t="s">
        <v>242</v>
      </c>
      <c r="AF60" s="71" t="s">
        <v>243</v>
      </c>
      <c r="AG60" s="71" t="s">
        <v>196</v>
      </c>
      <c r="AH60" s="76" t="s">
        <v>219</v>
      </c>
      <c r="AK60" s="71" t="s">
        <v>206</v>
      </c>
      <c r="AL60" s="75" t="s">
        <v>227</v>
      </c>
      <c r="AM60" s="71"/>
      <c r="AN60" s="71"/>
      <c r="AO60" s="71" t="s">
        <v>208</v>
      </c>
      <c r="AP60" s="71" t="s">
        <v>235</v>
      </c>
      <c r="AQ60" s="71"/>
      <c r="AS60" s="71"/>
      <c r="AT60" s="75" t="s">
        <v>218</v>
      </c>
      <c r="AV60" s="75" t="s">
        <v>218</v>
      </c>
      <c r="AW60" s="75" t="s">
        <v>200</v>
      </c>
      <c r="AX60" s="75" t="str">
        <f t="shared" si="3"/>
        <v>JULIANA HERNANDEZ BARRERA</v>
      </c>
      <c r="BP60" s="71"/>
      <c r="BQ60" s="71"/>
      <c r="BR60" s="71"/>
      <c r="BS60" s="71"/>
      <c r="BT60" s="71"/>
      <c r="BV60" s="71" t="s">
        <v>536</v>
      </c>
    </row>
    <row r="61" spans="1:74" ht="13.5" customHeight="1" x14ac:dyDescent="0.25">
      <c r="A61" s="70">
        <v>2977752</v>
      </c>
      <c r="B61" s="71" t="s">
        <v>245</v>
      </c>
      <c r="C61" s="71">
        <v>21</v>
      </c>
      <c r="D61" s="72" t="s">
        <v>101</v>
      </c>
      <c r="E61" s="73" t="s">
        <v>97</v>
      </c>
      <c r="F61" s="74">
        <f t="shared" si="2"/>
        <v>46066</v>
      </c>
      <c r="G61" s="73" t="s">
        <v>98</v>
      </c>
      <c r="H61" s="73" t="s">
        <v>306</v>
      </c>
      <c r="I61" s="71" t="s">
        <v>306</v>
      </c>
      <c r="J61" s="71" t="s">
        <v>221</v>
      </c>
      <c r="M61" s="70" t="s">
        <v>306</v>
      </c>
      <c r="N61" s="71" t="s">
        <v>192</v>
      </c>
      <c r="O61" s="71" t="s">
        <v>192</v>
      </c>
      <c r="P61" s="72" t="s">
        <v>218</v>
      </c>
      <c r="Q61" s="73" t="s">
        <v>297</v>
      </c>
      <c r="R61" s="71" t="s">
        <v>294</v>
      </c>
      <c r="S61" s="75" t="s">
        <v>242</v>
      </c>
      <c r="T61" s="75" t="s">
        <v>257</v>
      </c>
      <c r="U61" s="75" t="s">
        <v>209</v>
      </c>
      <c r="V61" s="71" t="s">
        <v>226</v>
      </c>
      <c r="W61" s="75" t="s">
        <v>198</v>
      </c>
      <c r="X61" s="71" t="s">
        <v>253</v>
      </c>
      <c r="Y61" s="75" t="s">
        <v>204</v>
      </c>
      <c r="Z61" s="71" t="s">
        <v>217</v>
      </c>
      <c r="AA61" s="71" t="s">
        <v>254</v>
      </c>
      <c r="AB61" s="71" t="s">
        <v>276</v>
      </c>
      <c r="AC61" s="75" t="s">
        <v>196</v>
      </c>
      <c r="AD61" s="71" t="s">
        <v>267</v>
      </c>
      <c r="AE61" s="71" t="s">
        <v>200</v>
      </c>
      <c r="AF61" s="71" t="s">
        <v>220</v>
      </c>
      <c r="AG61" s="71" t="s">
        <v>206</v>
      </c>
      <c r="AH61" s="76" t="s">
        <v>207</v>
      </c>
      <c r="AK61" s="71" t="s">
        <v>208</v>
      </c>
      <c r="AL61" s="75" t="s">
        <v>303</v>
      </c>
      <c r="AM61" s="71"/>
      <c r="AN61" s="71"/>
      <c r="AO61" s="71" t="s">
        <v>202</v>
      </c>
      <c r="AP61" s="71" t="s">
        <v>203</v>
      </c>
      <c r="AQ61" s="71"/>
      <c r="AS61" s="71"/>
      <c r="AT61" s="75" t="s">
        <v>218</v>
      </c>
      <c r="AV61" s="75" t="s">
        <v>218</v>
      </c>
      <c r="AX61" s="75" t="str">
        <f t="shared" si="3"/>
        <v/>
      </c>
      <c r="BP61" s="71"/>
      <c r="BQ61" s="71"/>
      <c r="BR61" s="71"/>
      <c r="BS61" s="71"/>
      <c r="BT61" s="71"/>
      <c r="BU61" s="71">
        <v>12</v>
      </c>
      <c r="BV61" s="71" t="s">
        <v>534</v>
      </c>
    </row>
    <row r="62" spans="1:74" ht="13.5" customHeight="1" x14ac:dyDescent="0.25">
      <c r="A62" s="70">
        <v>2977753</v>
      </c>
      <c r="B62" s="71" t="s">
        <v>245</v>
      </c>
      <c r="C62" s="71">
        <v>30</v>
      </c>
      <c r="D62" s="72" t="s">
        <v>101</v>
      </c>
      <c r="E62" s="73" t="s">
        <v>97</v>
      </c>
      <c r="F62" s="74">
        <f t="shared" si="2"/>
        <v>46066</v>
      </c>
      <c r="G62" s="73" t="s">
        <v>98</v>
      </c>
      <c r="H62" s="73" t="s">
        <v>306</v>
      </c>
      <c r="I62" s="71" t="s">
        <v>306</v>
      </c>
      <c r="J62" s="71" t="s">
        <v>221</v>
      </c>
      <c r="M62" s="70" t="s">
        <v>306</v>
      </c>
      <c r="N62" s="71" t="s">
        <v>309</v>
      </c>
      <c r="P62" s="72" t="s">
        <v>218</v>
      </c>
      <c r="Q62" s="73" t="s">
        <v>297</v>
      </c>
      <c r="R62" s="71" t="s">
        <v>294</v>
      </c>
      <c r="S62" s="75" t="s">
        <v>242</v>
      </c>
      <c r="T62" s="75" t="s">
        <v>257</v>
      </c>
      <c r="U62" s="75" t="s">
        <v>204</v>
      </c>
      <c r="V62" s="71" t="s">
        <v>217</v>
      </c>
      <c r="W62" s="75" t="s">
        <v>209</v>
      </c>
      <c r="X62" s="71" t="s">
        <v>251</v>
      </c>
      <c r="Y62" s="75" t="s">
        <v>254</v>
      </c>
      <c r="Z62" s="71" t="s">
        <v>288</v>
      </c>
      <c r="AA62" s="71" t="s">
        <v>202</v>
      </c>
      <c r="AB62" s="71" t="s">
        <v>250</v>
      </c>
      <c r="AC62" s="75"/>
      <c r="AE62" s="71" t="s">
        <v>196</v>
      </c>
      <c r="AF62" s="71" t="s">
        <v>267</v>
      </c>
      <c r="AG62" s="71" t="s">
        <v>198</v>
      </c>
      <c r="AH62" s="76" t="s">
        <v>299</v>
      </c>
      <c r="AK62" s="71" t="s">
        <v>206</v>
      </c>
      <c r="AL62" s="75" t="s">
        <v>213</v>
      </c>
      <c r="AM62" s="71"/>
      <c r="AN62" s="71"/>
      <c r="AO62" s="71" t="s">
        <v>208</v>
      </c>
      <c r="AP62" s="71" t="s">
        <v>239</v>
      </c>
      <c r="AQ62" s="71"/>
      <c r="AS62" s="71"/>
      <c r="AT62" s="75" t="s">
        <v>218</v>
      </c>
      <c r="AV62" s="75" t="s">
        <v>218</v>
      </c>
      <c r="AW62" s="75" t="s">
        <v>200</v>
      </c>
      <c r="AX62" s="75" t="str">
        <f t="shared" si="3"/>
        <v>JULIANA HERNANDEZ BARRERA</v>
      </c>
      <c r="BP62" s="71"/>
      <c r="BQ62" s="71"/>
      <c r="BR62" s="71"/>
      <c r="BS62" s="71"/>
      <c r="BT62" s="71"/>
      <c r="BV62" s="71" t="s">
        <v>536</v>
      </c>
    </row>
    <row r="63" spans="1:74" ht="13.5" customHeight="1" x14ac:dyDescent="0.25">
      <c r="A63" s="70">
        <v>2977754</v>
      </c>
      <c r="B63" s="71" t="s">
        <v>245</v>
      </c>
      <c r="C63" s="71">
        <v>29</v>
      </c>
      <c r="D63" s="72" t="s">
        <v>101</v>
      </c>
      <c r="E63" s="73" t="s">
        <v>97</v>
      </c>
      <c r="F63" s="74">
        <f t="shared" si="2"/>
        <v>46066</v>
      </c>
      <c r="G63" s="73" t="s">
        <v>98</v>
      </c>
      <c r="H63" s="73" t="s">
        <v>306</v>
      </c>
      <c r="I63" s="71" t="s">
        <v>306</v>
      </c>
      <c r="J63" s="71" t="s">
        <v>221</v>
      </c>
      <c r="M63" s="70" t="s">
        <v>306</v>
      </c>
      <c r="N63" s="71" t="s">
        <v>309</v>
      </c>
      <c r="P63" s="72" t="s">
        <v>218</v>
      </c>
      <c r="Q63" s="73" t="s">
        <v>297</v>
      </c>
      <c r="R63" s="71" t="s">
        <v>294</v>
      </c>
      <c r="S63" s="75" t="s">
        <v>242</v>
      </c>
      <c r="T63" s="75" t="s">
        <v>257</v>
      </c>
      <c r="U63" s="75" t="s">
        <v>204</v>
      </c>
      <c r="V63" s="71" t="s">
        <v>269</v>
      </c>
      <c r="W63" s="75" t="s">
        <v>198</v>
      </c>
      <c r="X63" s="71" t="s">
        <v>225</v>
      </c>
      <c r="Y63" s="75" t="s">
        <v>209</v>
      </c>
      <c r="Z63" s="71" t="s">
        <v>236</v>
      </c>
      <c r="AA63" s="71" t="s">
        <v>254</v>
      </c>
      <c r="AB63" s="71" t="s">
        <v>255</v>
      </c>
      <c r="AC63" s="75"/>
      <c r="AE63" s="71" t="s">
        <v>196</v>
      </c>
      <c r="AF63" s="71" t="s">
        <v>219</v>
      </c>
      <c r="AG63" s="71" t="s">
        <v>200</v>
      </c>
      <c r="AH63" s="76" t="s">
        <v>220</v>
      </c>
      <c r="AK63" s="71" t="s">
        <v>206</v>
      </c>
      <c r="AL63" s="75" t="s">
        <v>213</v>
      </c>
      <c r="AM63" s="71"/>
      <c r="AN63" s="71"/>
      <c r="AO63" s="71" t="s">
        <v>208</v>
      </c>
      <c r="AP63" s="71" t="s">
        <v>278</v>
      </c>
      <c r="AQ63" s="71"/>
      <c r="AS63" s="71" t="s">
        <v>202</v>
      </c>
      <c r="AT63" s="75" t="s">
        <v>203</v>
      </c>
      <c r="AV63" s="75" t="s">
        <v>218</v>
      </c>
      <c r="AX63" s="75" t="str">
        <f t="shared" si="3"/>
        <v/>
      </c>
      <c r="BP63" s="71"/>
      <c r="BQ63" s="71"/>
      <c r="BR63" s="71"/>
      <c r="BS63" s="71"/>
      <c r="BT63" s="71"/>
      <c r="BV63" s="71" t="s">
        <v>536</v>
      </c>
    </row>
    <row r="64" spans="1:74" ht="13.5" customHeight="1" x14ac:dyDescent="0.25">
      <c r="A64" s="70">
        <v>2977755</v>
      </c>
      <c r="B64" s="71" t="s">
        <v>245</v>
      </c>
      <c r="C64" s="71">
        <v>31</v>
      </c>
      <c r="D64" s="72" t="s">
        <v>101</v>
      </c>
      <c r="E64" s="73" t="s">
        <v>97</v>
      </c>
      <c r="F64" s="74">
        <f t="shared" si="2"/>
        <v>46066</v>
      </c>
      <c r="G64" s="73" t="s">
        <v>98</v>
      </c>
      <c r="H64" s="73" t="s">
        <v>306</v>
      </c>
      <c r="I64" s="71" t="s">
        <v>306</v>
      </c>
      <c r="J64" s="71" t="s">
        <v>221</v>
      </c>
      <c r="M64" s="70" t="s">
        <v>306</v>
      </c>
      <c r="N64" s="71" t="s">
        <v>309</v>
      </c>
      <c r="P64" s="72" t="s">
        <v>218</v>
      </c>
      <c r="Q64" s="73" t="s">
        <v>297</v>
      </c>
      <c r="R64" s="71" t="s">
        <v>294</v>
      </c>
      <c r="S64" s="75" t="s">
        <v>254</v>
      </c>
      <c r="T64" s="75" t="s">
        <v>255</v>
      </c>
      <c r="U64" s="75" t="s">
        <v>204</v>
      </c>
      <c r="V64" s="71" t="s">
        <v>221</v>
      </c>
      <c r="W64" s="75" t="s">
        <v>198</v>
      </c>
      <c r="X64" s="71" t="s">
        <v>264</v>
      </c>
      <c r="Y64" s="75" t="s">
        <v>209</v>
      </c>
      <c r="Z64" s="71" t="s">
        <v>236</v>
      </c>
      <c r="AA64" s="71" t="s">
        <v>202</v>
      </c>
      <c r="AB64" s="71" t="s">
        <v>256</v>
      </c>
      <c r="AC64" s="75"/>
      <c r="AE64" s="71" t="s">
        <v>196</v>
      </c>
      <c r="AF64" s="71" t="s">
        <v>267</v>
      </c>
      <c r="AG64" s="71" t="s">
        <v>200</v>
      </c>
      <c r="AH64" s="76" t="s">
        <v>220</v>
      </c>
      <c r="AK64" s="71" t="s">
        <v>206</v>
      </c>
      <c r="AL64" s="75" t="s">
        <v>227</v>
      </c>
      <c r="AM64" s="71"/>
      <c r="AN64" s="71"/>
      <c r="AO64" s="71" t="s">
        <v>208</v>
      </c>
      <c r="AP64" s="71" t="s">
        <v>278</v>
      </c>
      <c r="AQ64" s="71"/>
      <c r="AS64" s="71"/>
      <c r="AT64" s="75" t="s">
        <v>218</v>
      </c>
      <c r="AV64" s="75" t="s">
        <v>218</v>
      </c>
      <c r="AW64" s="75" t="s">
        <v>242</v>
      </c>
      <c r="AX64" s="75" t="str">
        <f t="shared" si="3"/>
        <v>LAURA SOFIA PAEZ GALLO</v>
      </c>
      <c r="BP64" s="71"/>
      <c r="BQ64" s="71"/>
      <c r="BR64" s="71"/>
      <c r="BS64" s="71"/>
      <c r="BT64" s="71"/>
      <c r="BV64" s="71" t="s">
        <v>536</v>
      </c>
    </row>
    <row r="65" spans="1:76" ht="13.5" customHeight="1" x14ac:dyDescent="0.25">
      <c r="A65" s="70">
        <v>2977756</v>
      </c>
      <c r="B65" s="71" t="s">
        <v>245</v>
      </c>
      <c r="C65" s="71">
        <v>27</v>
      </c>
      <c r="D65" s="72" t="s">
        <v>101</v>
      </c>
      <c r="E65" s="73" t="s">
        <v>97</v>
      </c>
      <c r="F65" s="74">
        <f t="shared" si="2"/>
        <v>46066</v>
      </c>
      <c r="G65" s="73" t="s">
        <v>98</v>
      </c>
      <c r="H65" s="73" t="s">
        <v>310</v>
      </c>
      <c r="I65" s="71" t="s">
        <v>310</v>
      </c>
      <c r="J65" s="71" t="s">
        <v>227</v>
      </c>
      <c r="M65" s="70" t="s">
        <v>210</v>
      </c>
      <c r="N65" s="71" t="s">
        <v>311</v>
      </c>
      <c r="P65" s="72" t="s">
        <v>218</v>
      </c>
      <c r="Q65" s="73" t="s">
        <v>297</v>
      </c>
      <c r="R65" s="71" t="s">
        <v>294</v>
      </c>
      <c r="S65" s="75" t="s">
        <v>254</v>
      </c>
      <c r="T65" s="75" t="s">
        <v>255</v>
      </c>
      <c r="U65" s="75" t="s">
        <v>204</v>
      </c>
      <c r="V65" s="71" t="s">
        <v>258</v>
      </c>
      <c r="W65" s="75" t="s">
        <v>198</v>
      </c>
      <c r="X65" s="71" t="s">
        <v>299</v>
      </c>
      <c r="Y65" s="75" t="s">
        <v>209</v>
      </c>
      <c r="Z65" s="71" t="s">
        <v>236</v>
      </c>
      <c r="AA65" s="71" t="s">
        <v>196</v>
      </c>
      <c r="AB65" s="71" t="s">
        <v>312</v>
      </c>
      <c r="AC65" s="75" t="s">
        <v>200</v>
      </c>
      <c r="AD65" s="71" t="s">
        <v>201</v>
      </c>
      <c r="AE65" s="71" t="s">
        <v>242</v>
      </c>
      <c r="AF65" s="71" t="s">
        <v>243</v>
      </c>
      <c r="AG65" s="71" t="s">
        <v>206</v>
      </c>
      <c r="AH65" s="76" t="s">
        <v>207</v>
      </c>
      <c r="AK65" s="71" t="s">
        <v>208</v>
      </c>
      <c r="AL65" s="75" t="s">
        <v>235</v>
      </c>
      <c r="AM65" s="71"/>
      <c r="AN65" s="71"/>
      <c r="AO65" s="71"/>
      <c r="AP65" s="71"/>
      <c r="AQ65" s="71"/>
      <c r="AS65" s="71" t="s">
        <v>202</v>
      </c>
      <c r="AT65" s="75" t="s">
        <v>216</v>
      </c>
      <c r="AV65" s="75" t="s">
        <v>218</v>
      </c>
      <c r="AX65" s="75" t="str">
        <f t="shared" si="3"/>
        <v/>
      </c>
      <c r="BP65" s="71"/>
      <c r="BQ65" s="71"/>
      <c r="BR65" s="71"/>
      <c r="BS65" s="71"/>
      <c r="BT65" s="71"/>
      <c r="BV65" s="71" t="s">
        <v>536</v>
      </c>
    </row>
    <row r="66" spans="1:76" ht="13.5" customHeight="1" x14ac:dyDescent="0.25">
      <c r="A66" s="70">
        <v>2977757</v>
      </c>
      <c r="B66" s="71" t="s">
        <v>245</v>
      </c>
      <c r="C66" s="71">
        <v>23</v>
      </c>
      <c r="D66" s="72" t="s">
        <v>101</v>
      </c>
      <c r="E66" s="73" t="s">
        <v>97</v>
      </c>
      <c r="F66" s="74">
        <f t="shared" si="2"/>
        <v>46066</v>
      </c>
      <c r="G66" s="73" t="s">
        <v>98</v>
      </c>
      <c r="H66" s="73" t="s">
        <v>310</v>
      </c>
      <c r="I66" s="71" t="s">
        <v>310</v>
      </c>
      <c r="J66" s="71" t="s">
        <v>227</v>
      </c>
      <c r="M66" s="70" t="s">
        <v>210</v>
      </c>
      <c r="N66" s="71" t="s">
        <v>313</v>
      </c>
      <c r="P66" s="72" t="s">
        <v>218</v>
      </c>
      <c r="Q66" s="73" t="s">
        <v>297</v>
      </c>
      <c r="R66" s="71" t="s">
        <v>294</v>
      </c>
      <c r="S66" s="75" t="s">
        <v>254</v>
      </c>
      <c r="T66" s="75" t="s">
        <v>276</v>
      </c>
      <c r="U66" s="75" t="s">
        <v>204</v>
      </c>
      <c r="V66" s="71" t="s">
        <v>221</v>
      </c>
      <c r="W66" s="75" t="s">
        <v>242</v>
      </c>
      <c r="X66" s="71" t="s">
        <v>257</v>
      </c>
      <c r="Y66" s="75" t="s">
        <v>209</v>
      </c>
      <c r="Z66" s="71" t="s">
        <v>236</v>
      </c>
      <c r="AA66" s="71" t="s">
        <v>196</v>
      </c>
      <c r="AB66" s="71" t="s">
        <v>267</v>
      </c>
      <c r="AC66" s="75" t="s">
        <v>198</v>
      </c>
      <c r="AD66" s="71" t="s">
        <v>199</v>
      </c>
      <c r="AE66" s="71" t="s">
        <v>200</v>
      </c>
      <c r="AF66" s="71" t="s">
        <v>220</v>
      </c>
      <c r="AG66" s="71" t="s">
        <v>206</v>
      </c>
      <c r="AH66" s="76" t="s">
        <v>207</v>
      </c>
      <c r="AK66" s="71" t="s">
        <v>208</v>
      </c>
      <c r="AL66" s="75" t="s">
        <v>278</v>
      </c>
      <c r="AM66" s="71"/>
      <c r="AN66" s="71"/>
      <c r="AO66" s="71"/>
      <c r="AP66" s="71"/>
      <c r="AQ66" s="71"/>
      <c r="AS66" s="71" t="s">
        <v>202</v>
      </c>
      <c r="AT66" s="75" t="s">
        <v>216</v>
      </c>
      <c r="AV66" s="75" t="s">
        <v>218</v>
      </c>
      <c r="AX66" s="75" t="str">
        <f t="shared" si="3"/>
        <v/>
      </c>
      <c r="BP66" s="71"/>
      <c r="BQ66" s="71"/>
      <c r="BR66" s="71"/>
      <c r="BS66" s="71"/>
      <c r="BT66" s="71"/>
      <c r="BV66" s="71" t="s">
        <v>536</v>
      </c>
    </row>
    <row r="67" spans="1:76" ht="13.5" customHeight="1" x14ac:dyDescent="0.25">
      <c r="A67" s="70">
        <v>2977758</v>
      </c>
      <c r="B67" s="71" t="s">
        <v>245</v>
      </c>
      <c r="C67" s="71">
        <v>17</v>
      </c>
      <c r="D67" s="72" t="s">
        <v>101</v>
      </c>
      <c r="E67" s="73" t="s">
        <v>97</v>
      </c>
      <c r="F67" s="74">
        <f t="shared" si="2"/>
        <v>46066</v>
      </c>
      <c r="G67" s="73" t="s">
        <v>98</v>
      </c>
      <c r="H67" s="73" t="s">
        <v>310</v>
      </c>
      <c r="I67" s="71" t="s">
        <v>310</v>
      </c>
      <c r="J67" s="71" t="s">
        <v>227</v>
      </c>
      <c r="M67" s="70" t="s">
        <v>210</v>
      </c>
      <c r="N67" s="71" t="s">
        <v>313</v>
      </c>
      <c r="P67" s="72" t="s">
        <v>218</v>
      </c>
      <c r="Q67" s="73" t="s">
        <v>297</v>
      </c>
      <c r="R67" s="71" t="s">
        <v>294</v>
      </c>
      <c r="S67" s="75" t="s">
        <v>254</v>
      </c>
      <c r="T67" s="75" t="s">
        <v>276</v>
      </c>
      <c r="U67" s="75" t="s">
        <v>204</v>
      </c>
      <c r="V67" s="71" t="s">
        <v>258</v>
      </c>
      <c r="W67" s="75" t="s">
        <v>242</v>
      </c>
      <c r="X67" s="71" t="s">
        <v>257</v>
      </c>
      <c r="Y67" s="75" t="s">
        <v>209</v>
      </c>
      <c r="Z67" s="71" t="s">
        <v>251</v>
      </c>
      <c r="AA67" s="71" t="s">
        <v>196</v>
      </c>
      <c r="AB67" s="71" t="s">
        <v>267</v>
      </c>
      <c r="AC67" s="75" t="s">
        <v>198</v>
      </c>
      <c r="AD67" s="71" t="s">
        <v>225</v>
      </c>
      <c r="AE67" s="71" t="s">
        <v>200</v>
      </c>
      <c r="AF67" s="71" t="s">
        <v>201</v>
      </c>
      <c r="AG67" s="71" t="s">
        <v>206</v>
      </c>
      <c r="AH67" s="76" t="s">
        <v>207</v>
      </c>
      <c r="AK67" s="71" t="s">
        <v>208</v>
      </c>
      <c r="AL67" s="75" t="s">
        <v>239</v>
      </c>
      <c r="AM67" s="71"/>
      <c r="AN67" s="71"/>
      <c r="AO67" s="71"/>
      <c r="AP67" s="71"/>
      <c r="AQ67" s="71"/>
      <c r="AS67" s="71" t="s">
        <v>202</v>
      </c>
      <c r="AT67" s="75" t="s">
        <v>203</v>
      </c>
      <c r="AV67" s="75" t="s">
        <v>218</v>
      </c>
      <c r="AX67" s="75" t="str">
        <f t="shared" ref="AX67:AX98" si="4">IFERROR(VLOOKUP(A67,_p7_2025,2,FALSE),"")</f>
        <v/>
      </c>
      <c r="BP67" s="71"/>
      <c r="BQ67" s="71"/>
      <c r="BR67" s="71"/>
      <c r="BS67" s="71"/>
      <c r="BT67" s="71"/>
      <c r="BV67" s="71" t="s">
        <v>536</v>
      </c>
    </row>
    <row r="68" spans="1:76" ht="13.5" customHeight="1" x14ac:dyDescent="0.25">
      <c r="A68" s="70">
        <v>2977759</v>
      </c>
      <c r="B68" s="71" t="s">
        <v>245</v>
      </c>
      <c r="C68" s="71">
        <v>29</v>
      </c>
      <c r="D68" s="72" t="s">
        <v>101</v>
      </c>
      <c r="E68" s="73" t="s">
        <v>97</v>
      </c>
      <c r="F68" s="74">
        <f t="shared" si="2"/>
        <v>46066</v>
      </c>
      <c r="G68" s="73" t="s">
        <v>98</v>
      </c>
      <c r="H68" s="73" t="s">
        <v>306</v>
      </c>
      <c r="I68" s="71" t="s">
        <v>306</v>
      </c>
      <c r="J68" s="71" t="s">
        <v>227</v>
      </c>
      <c r="M68" s="70" t="s">
        <v>306</v>
      </c>
      <c r="N68" s="71" t="s">
        <v>313</v>
      </c>
      <c r="P68" s="72" t="s">
        <v>218</v>
      </c>
      <c r="Q68" s="73" t="s">
        <v>297</v>
      </c>
      <c r="R68" s="71" t="s">
        <v>294</v>
      </c>
      <c r="S68" s="75" t="s">
        <v>254</v>
      </c>
      <c r="T68" s="75" t="s">
        <v>276</v>
      </c>
      <c r="U68" s="75" t="s">
        <v>204</v>
      </c>
      <c r="V68" s="71" t="s">
        <v>258</v>
      </c>
      <c r="W68" s="75" t="s">
        <v>198</v>
      </c>
      <c r="X68" s="71" t="s">
        <v>264</v>
      </c>
      <c r="Y68" s="75" t="s">
        <v>209</v>
      </c>
      <c r="Z68" s="71" t="s">
        <v>251</v>
      </c>
      <c r="AA68" s="71" t="s">
        <v>196</v>
      </c>
      <c r="AB68" s="71" t="s">
        <v>312</v>
      </c>
      <c r="AC68" s="75" t="s">
        <v>200</v>
      </c>
      <c r="AD68" s="71" t="s">
        <v>220</v>
      </c>
      <c r="AE68" s="71" t="s">
        <v>242</v>
      </c>
      <c r="AF68" s="71" t="s">
        <v>243</v>
      </c>
      <c r="AG68" s="71" t="s">
        <v>206</v>
      </c>
      <c r="AH68" s="76" t="s">
        <v>207</v>
      </c>
      <c r="AK68" s="71" t="s">
        <v>208</v>
      </c>
      <c r="AL68" s="75" t="s">
        <v>235</v>
      </c>
      <c r="AM68" s="71"/>
      <c r="AN68" s="71"/>
      <c r="AO68" s="71"/>
      <c r="AP68" s="71"/>
      <c r="AQ68" s="71"/>
      <c r="AS68" s="71" t="s">
        <v>202</v>
      </c>
      <c r="AT68" s="75" t="s">
        <v>216</v>
      </c>
      <c r="AV68" s="75" t="s">
        <v>218</v>
      </c>
      <c r="AX68" s="75" t="str">
        <f t="shared" si="4"/>
        <v/>
      </c>
      <c r="BP68" s="71"/>
      <c r="BQ68" s="71"/>
      <c r="BR68" s="71"/>
      <c r="BS68" s="71"/>
      <c r="BT68" s="71"/>
      <c r="BV68" s="71" t="s">
        <v>536</v>
      </c>
    </row>
    <row r="69" spans="1:76" ht="13.5" customHeight="1" x14ac:dyDescent="0.25">
      <c r="A69" s="70">
        <v>2977760</v>
      </c>
      <c r="B69" s="71" t="s">
        <v>245</v>
      </c>
      <c r="C69" s="71">
        <v>42</v>
      </c>
      <c r="D69" s="72" t="s">
        <v>101</v>
      </c>
      <c r="E69" s="73" t="s">
        <v>97</v>
      </c>
      <c r="F69" s="74">
        <f t="shared" si="2"/>
        <v>46066</v>
      </c>
      <c r="G69" s="73" t="s">
        <v>98</v>
      </c>
      <c r="H69" s="73" t="s">
        <v>314</v>
      </c>
      <c r="I69" s="71" t="s">
        <v>306</v>
      </c>
      <c r="J69" s="71" t="s">
        <v>227</v>
      </c>
      <c r="M69" s="70" t="s">
        <v>315</v>
      </c>
      <c r="N69" s="71" t="s">
        <v>313</v>
      </c>
      <c r="P69" s="72" t="s">
        <v>218</v>
      </c>
      <c r="Q69" s="73" t="s">
        <v>297</v>
      </c>
      <c r="R69" s="71" t="s">
        <v>294</v>
      </c>
      <c r="S69" s="75" t="s">
        <v>254</v>
      </c>
      <c r="T69" s="75" t="s">
        <v>276</v>
      </c>
      <c r="U69" s="75" t="s">
        <v>204</v>
      </c>
      <c r="V69" s="71" t="s">
        <v>217</v>
      </c>
      <c r="W69" s="75" t="s">
        <v>198</v>
      </c>
      <c r="X69" s="71" t="s">
        <v>305</v>
      </c>
      <c r="Y69" s="75" t="s">
        <v>209</v>
      </c>
      <c r="Z69" s="71" t="s">
        <v>236</v>
      </c>
      <c r="AA69" s="71" t="s">
        <v>196</v>
      </c>
      <c r="AB69" s="71" t="s">
        <v>312</v>
      </c>
      <c r="AC69" s="75" t="s">
        <v>200</v>
      </c>
      <c r="AD69" s="71" t="s">
        <v>220</v>
      </c>
      <c r="AE69" s="71" t="s">
        <v>202</v>
      </c>
      <c r="AF69" s="71" t="s">
        <v>216</v>
      </c>
      <c r="AG69" s="71" t="s">
        <v>242</v>
      </c>
      <c r="AH69" s="76" t="s">
        <v>243</v>
      </c>
      <c r="AK69" s="71" t="s">
        <v>206</v>
      </c>
      <c r="AL69" s="75" t="s">
        <v>213</v>
      </c>
      <c r="AM69" s="71"/>
      <c r="AN69" s="71"/>
      <c r="AO69" s="71" t="s">
        <v>208</v>
      </c>
      <c r="AP69" s="71" t="s">
        <v>239</v>
      </c>
      <c r="AQ69" s="71"/>
      <c r="AS69" s="71"/>
      <c r="AT69" s="75" t="s">
        <v>218</v>
      </c>
      <c r="AV69" s="75" t="s">
        <v>218</v>
      </c>
      <c r="AX69" s="75" t="str">
        <f t="shared" si="4"/>
        <v/>
      </c>
      <c r="BP69" s="71"/>
      <c r="BQ69" s="71"/>
      <c r="BR69" s="71"/>
      <c r="BS69" s="71"/>
      <c r="BT69" s="71"/>
      <c r="BV69" s="71" t="s">
        <v>536</v>
      </c>
    </row>
    <row r="70" spans="1:76" ht="13.5" customHeight="1" x14ac:dyDescent="0.25">
      <c r="A70" s="70">
        <v>2977761</v>
      </c>
      <c r="B70" s="71" t="s">
        <v>245</v>
      </c>
      <c r="C70" s="71">
        <v>43</v>
      </c>
      <c r="D70" s="72" t="s">
        <v>101</v>
      </c>
      <c r="E70" s="73" t="s">
        <v>97</v>
      </c>
      <c r="F70" s="74">
        <f t="shared" si="2"/>
        <v>46066</v>
      </c>
      <c r="G70" s="73" t="s">
        <v>98</v>
      </c>
      <c r="H70" s="73" t="s">
        <v>314</v>
      </c>
      <c r="I70" s="71" t="s">
        <v>306</v>
      </c>
      <c r="J70" s="71" t="s">
        <v>227</v>
      </c>
      <c r="M70" s="70" t="s">
        <v>315</v>
      </c>
      <c r="N70" s="71" t="s">
        <v>313</v>
      </c>
      <c r="P70" s="72" t="s">
        <v>218</v>
      </c>
      <c r="Q70" s="73" t="s">
        <v>297</v>
      </c>
      <c r="R70" s="71" t="s">
        <v>294</v>
      </c>
      <c r="S70" s="75" t="s">
        <v>204</v>
      </c>
      <c r="T70" s="75" t="s">
        <v>258</v>
      </c>
      <c r="U70" s="75" t="s">
        <v>254</v>
      </c>
      <c r="V70" s="71" t="s">
        <v>255</v>
      </c>
      <c r="W70" s="75" t="s">
        <v>198</v>
      </c>
      <c r="X70" s="71" t="s">
        <v>308</v>
      </c>
      <c r="Y70" s="75" t="s">
        <v>209</v>
      </c>
      <c r="Z70" s="71" t="s">
        <v>251</v>
      </c>
      <c r="AA70" s="71" t="s">
        <v>196</v>
      </c>
      <c r="AB70" s="71" t="s">
        <v>312</v>
      </c>
      <c r="AC70" s="75" t="s">
        <v>200</v>
      </c>
      <c r="AD70" s="71" t="s">
        <v>201</v>
      </c>
      <c r="AE70" s="71" t="s">
        <v>202</v>
      </c>
      <c r="AF70" s="71" t="s">
        <v>216</v>
      </c>
      <c r="AG70" s="71" t="s">
        <v>242</v>
      </c>
      <c r="AH70" s="76" t="s">
        <v>243</v>
      </c>
      <c r="AK70" s="71" t="s">
        <v>206</v>
      </c>
      <c r="AL70" s="75" t="s">
        <v>213</v>
      </c>
      <c r="AM70" s="71"/>
      <c r="AN70" s="71"/>
      <c r="AO70" s="71" t="s">
        <v>208</v>
      </c>
      <c r="AP70" s="71" t="s">
        <v>278</v>
      </c>
      <c r="AQ70" s="71"/>
      <c r="AS70" s="71"/>
      <c r="AT70" s="75" t="s">
        <v>218</v>
      </c>
      <c r="AV70" s="75" t="s">
        <v>218</v>
      </c>
      <c r="AX70" s="75" t="str">
        <f t="shared" si="4"/>
        <v/>
      </c>
      <c r="BP70" s="71"/>
      <c r="BQ70" s="71"/>
      <c r="BR70" s="71"/>
      <c r="BS70" s="71"/>
      <c r="BT70" s="71"/>
      <c r="BV70" s="71" t="s">
        <v>536</v>
      </c>
    </row>
    <row r="71" spans="1:76" ht="13.5" customHeight="1" x14ac:dyDescent="0.25">
      <c r="A71" s="70">
        <v>2977762</v>
      </c>
      <c r="B71" s="71" t="s">
        <v>245</v>
      </c>
      <c r="C71" s="71">
        <v>32</v>
      </c>
      <c r="D71" s="72" t="s">
        <v>101</v>
      </c>
      <c r="E71" s="73" t="s">
        <v>97</v>
      </c>
      <c r="F71" s="74">
        <f t="shared" si="2"/>
        <v>46066</v>
      </c>
      <c r="G71" s="73" t="s">
        <v>98</v>
      </c>
      <c r="H71" s="73" t="s">
        <v>315</v>
      </c>
      <c r="I71" s="71" t="s">
        <v>315</v>
      </c>
      <c r="J71" s="71" t="s">
        <v>227</v>
      </c>
      <c r="M71" s="70" t="s">
        <v>315</v>
      </c>
      <c r="N71" s="71" t="s">
        <v>313</v>
      </c>
      <c r="P71" s="72" t="s">
        <v>218</v>
      </c>
      <c r="Q71" s="73" t="s">
        <v>297</v>
      </c>
      <c r="R71" s="71" t="s">
        <v>294</v>
      </c>
      <c r="S71" s="75" t="s">
        <v>208</v>
      </c>
      <c r="T71" s="75" t="s">
        <v>289</v>
      </c>
      <c r="U71" s="75" t="s">
        <v>204</v>
      </c>
      <c r="V71" s="71" t="s">
        <v>269</v>
      </c>
      <c r="W71" s="75" t="s">
        <v>242</v>
      </c>
      <c r="X71" s="71" t="s">
        <v>257</v>
      </c>
      <c r="Y71" s="75" t="s">
        <v>254</v>
      </c>
      <c r="Z71" s="71" t="s">
        <v>255</v>
      </c>
      <c r="AA71" s="71" t="s">
        <v>209</v>
      </c>
      <c r="AB71" s="71" t="s">
        <v>226</v>
      </c>
      <c r="AC71" s="75" t="s">
        <v>202</v>
      </c>
      <c r="AD71" s="71" t="s">
        <v>216</v>
      </c>
      <c r="AE71" s="71" t="s">
        <v>196</v>
      </c>
      <c r="AF71" s="71" t="s">
        <v>267</v>
      </c>
      <c r="AG71" s="71" t="s">
        <v>198</v>
      </c>
      <c r="AH71" s="76" t="s">
        <v>253</v>
      </c>
      <c r="AK71" s="71" t="s">
        <v>206</v>
      </c>
      <c r="AL71" s="75" t="s">
        <v>227</v>
      </c>
      <c r="AM71" s="71"/>
      <c r="AN71" s="71"/>
      <c r="AO71" s="71" t="s">
        <v>200</v>
      </c>
      <c r="AP71" s="71" t="s">
        <v>201</v>
      </c>
      <c r="AQ71" s="71"/>
      <c r="AS71" s="71"/>
      <c r="AT71" s="75" t="s">
        <v>218</v>
      </c>
      <c r="AV71" s="75" t="s">
        <v>218</v>
      </c>
      <c r="AX71" s="75" t="str">
        <f t="shared" si="4"/>
        <v/>
      </c>
      <c r="BP71" s="71"/>
      <c r="BQ71" s="71"/>
      <c r="BR71" s="71"/>
      <c r="BS71" s="71"/>
      <c r="BT71" s="71"/>
      <c r="BV71" s="71" t="s">
        <v>536</v>
      </c>
    </row>
    <row r="72" spans="1:76" ht="13.5" customHeight="1" x14ac:dyDescent="0.25">
      <c r="A72" s="70">
        <v>2977763</v>
      </c>
      <c r="B72" s="71" t="s">
        <v>245</v>
      </c>
      <c r="C72" s="71">
        <v>41</v>
      </c>
      <c r="D72" s="72" t="s">
        <v>101</v>
      </c>
      <c r="E72" s="73" t="s">
        <v>97</v>
      </c>
      <c r="F72" s="74">
        <f t="shared" si="2"/>
        <v>46066</v>
      </c>
      <c r="G72" s="73" t="s">
        <v>98</v>
      </c>
      <c r="H72" s="73" t="s">
        <v>315</v>
      </c>
      <c r="I72" s="71" t="s">
        <v>315</v>
      </c>
      <c r="J72" s="71" t="s">
        <v>227</v>
      </c>
      <c r="M72" s="70" t="s">
        <v>315</v>
      </c>
      <c r="N72" s="71" t="s">
        <v>316</v>
      </c>
      <c r="P72" s="72" t="s">
        <v>218</v>
      </c>
      <c r="Q72" s="73" t="s">
        <v>297</v>
      </c>
      <c r="R72" s="71" t="s">
        <v>294</v>
      </c>
      <c r="S72" s="75" t="s">
        <v>208</v>
      </c>
      <c r="T72" s="75" t="s">
        <v>235</v>
      </c>
      <c r="U72" s="75" t="s">
        <v>204</v>
      </c>
      <c r="V72" s="71" t="s">
        <v>275</v>
      </c>
      <c r="W72" s="75" t="s">
        <v>198</v>
      </c>
      <c r="X72" s="71" t="s">
        <v>305</v>
      </c>
      <c r="Y72" s="75" t="s">
        <v>254</v>
      </c>
      <c r="Z72" s="71" t="s">
        <v>255</v>
      </c>
      <c r="AA72" s="71" t="s">
        <v>209</v>
      </c>
      <c r="AB72" s="71" t="s">
        <v>251</v>
      </c>
      <c r="AC72" s="75" t="s">
        <v>202</v>
      </c>
      <c r="AD72" s="71" t="s">
        <v>216</v>
      </c>
      <c r="AE72" s="71" t="s">
        <v>196</v>
      </c>
      <c r="AF72" s="71" t="s">
        <v>267</v>
      </c>
      <c r="AG72" s="71" t="s">
        <v>200</v>
      </c>
      <c r="AH72" s="76" t="s">
        <v>214</v>
      </c>
      <c r="AK72" s="71"/>
      <c r="AL72" s="75" t="s">
        <v>218</v>
      </c>
      <c r="AM72" s="71"/>
      <c r="AN72" s="71"/>
      <c r="AO72" s="71" t="s">
        <v>206</v>
      </c>
      <c r="AP72" s="71" t="s">
        <v>213</v>
      </c>
      <c r="AQ72" s="71"/>
      <c r="AS72" s="71"/>
      <c r="AT72" s="75" t="s">
        <v>218</v>
      </c>
      <c r="AV72" s="75" t="s">
        <v>218</v>
      </c>
      <c r="AW72" s="75" t="s">
        <v>242</v>
      </c>
      <c r="AX72" s="75" t="str">
        <f t="shared" si="4"/>
        <v>LAURA SOFIA PAEZ GALLO</v>
      </c>
      <c r="BP72" s="71"/>
      <c r="BQ72" s="71"/>
      <c r="BR72" s="71"/>
      <c r="BS72" s="71"/>
      <c r="BT72" s="71"/>
      <c r="BV72" s="71" t="s">
        <v>536</v>
      </c>
    </row>
    <row r="73" spans="1:76" ht="13.5" customHeight="1" x14ac:dyDescent="0.25">
      <c r="A73" s="70">
        <v>2977764</v>
      </c>
      <c r="B73" s="71" t="s">
        <v>245</v>
      </c>
      <c r="C73" s="71">
        <v>35</v>
      </c>
      <c r="D73" s="72" t="s">
        <v>101</v>
      </c>
      <c r="E73" s="73" t="s">
        <v>97</v>
      </c>
      <c r="F73" s="74">
        <f t="shared" si="2"/>
        <v>46066</v>
      </c>
      <c r="G73" s="73" t="s">
        <v>98</v>
      </c>
      <c r="H73" s="73" t="s">
        <v>315</v>
      </c>
      <c r="I73" s="71" t="s">
        <v>315</v>
      </c>
      <c r="J73" s="71" t="s">
        <v>227</v>
      </c>
      <c r="M73" s="70" t="s">
        <v>315</v>
      </c>
      <c r="N73" s="71" t="s">
        <v>316</v>
      </c>
      <c r="P73" s="72" t="s">
        <v>218</v>
      </c>
      <c r="Q73" s="73" t="s">
        <v>297</v>
      </c>
      <c r="R73" s="71" t="s">
        <v>294</v>
      </c>
      <c r="S73" s="75" t="s">
        <v>208</v>
      </c>
      <c r="T73" s="75" t="s">
        <v>235</v>
      </c>
      <c r="U73" s="75" t="s">
        <v>204</v>
      </c>
      <c r="V73" s="71" t="s">
        <v>217</v>
      </c>
      <c r="W73" s="75" t="s">
        <v>242</v>
      </c>
      <c r="X73" s="71" t="s">
        <v>257</v>
      </c>
      <c r="Y73" s="75" t="s">
        <v>202</v>
      </c>
      <c r="Z73" s="71" t="s">
        <v>250</v>
      </c>
      <c r="AA73" s="71" t="s">
        <v>254</v>
      </c>
      <c r="AB73" s="71" t="s">
        <v>276</v>
      </c>
      <c r="AC73" s="75" t="s">
        <v>209</v>
      </c>
      <c r="AD73" s="71" t="s">
        <v>236</v>
      </c>
      <c r="AE73" s="71" t="s">
        <v>196</v>
      </c>
      <c r="AF73" s="71" t="s">
        <v>267</v>
      </c>
      <c r="AG73" s="71" t="s">
        <v>198</v>
      </c>
      <c r="AH73" s="76" t="s">
        <v>253</v>
      </c>
      <c r="AK73" s="71" t="s">
        <v>206</v>
      </c>
      <c r="AL73" s="75" t="s">
        <v>207</v>
      </c>
      <c r="AM73" s="71"/>
      <c r="AN73" s="71"/>
      <c r="AO73" s="71" t="s">
        <v>200</v>
      </c>
      <c r="AP73" s="71" t="s">
        <v>220</v>
      </c>
      <c r="AQ73" s="71"/>
      <c r="AS73" s="71"/>
      <c r="AT73" s="75" t="s">
        <v>218</v>
      </c>
      <c r="AV73" s="75" t="s">
        <v>218</v>
      </c>
      <c r="AX73" s="75" t="str">
        <f t="shared" si="4"/>
        <v/>
      </c>
      <c r="BP73" s="71"/>
      <c r="BQ73" s="71"/>
      <c r="BR73" s="71"/>
      <c r="BS73" s="71"/>
      <c r="BT73" s="71"/>
      <c r="BV73" s="71" t="s">
        <v>536</v>
      </c>
    </row>
    <row r="74" spans="1:76" ht="13.5" customHeight="1" x14ac:dyDescent="0.25">
      <c r="A74" s="77">
        <v>3236062</v>
      </c>
      <c r="B74" s="71" t="s">
        <v>190</v>
      </c>
      <c r="C74" s="71">
        <v>72</v>
      </c>
      <c r="D74" s="72" t="s">
        <v>91</v>
      </c>
      <c r="E74" s="73" t="s">
        <v>102</v>
      </c>
      <c r="F74" s="74">
        <v>46083</v>
      </c>
      <c r="G74" s="73" t="s">
        <v>103</v>
      </c>
      <c r="H74" s="73"/>
      <c r="K74" s="71" t="s">
        <v>229</v>
      </c>
      <c r="M74" s="70" t="s">
        <v>229</v>
      </c>
      <c r="O74" s="71" t="s">
        <v>223</v>
      </c>
      <c r="P74" s="72" t="s">
        <v>229</v>
      </c>
      <c r="Q74" s="71" t="s">
        <v>224</v>
      </c>
      <c r="U74" s="75"/>
      <c r="W74" s="75"/>
      <c r="Y74" s="75"/>
      <c r="AC74" s="75"/>
      <c r="AH74" s="76"/>
      <c r="AK74" s="71"/>
      <c r="AM74" s="71"/>
      <c r="AN74" s="71"/>
      <c r="AO74" s="71" t="s">
        <v>198</v>
      </c>
      <c r="AP74" s="71" t="s">
        <v>253</v>
      </c>
      <c r="AQ74" s="71" t="s">
        <v>200</v>
      </c>
      <c r="AR74" s="75" t="s">
        <v>214</v>
      </c>
      <c r="AS74" s="71"/>
      <c r="AU74" s="75" t="s">
        <v>196</v>
      </c>
      <c r="AV74" s="75" t="s">
        <v>219</v>
      </c>
      <c r="AW74" s="75" t="s">
        <v>202</v>
      </c>
      <c r="AX74" s="75" t="str">
        <f t="shared" si="4"/>
        <v>CHRISTIAN CAMILO RODRIGUEZ SALAS</v>
      </c>
      <c r="BA74" s="75" t="s">
        <v>204</v>
      </c>
      <c r="BB74" s="75" t="s">
        <v>205</v>
      </c>
      <c r="BC74" s="75" t="s">
        <v>209</v>
      </c>
      <c r="BD74" s="78" t="s">
        <v>226</v>
      </c>
      <c r="BE74" s="75" t="s">
        <v>208</v>
      </c>
      <c r="BF74" s="75" t="s">
        <v>317</v>
      </c>
      <c r="BG74" s="75" t="s">
        <v>206</v>
      </c>
      <c r="BH74" s="75" t="s">
        <v>227</v>
      </c>
      <c r="BP74" s="71" t="s">
        <v>318</v>
      </c>
      <c r="BQ74" s="78" t="str">
        <f>TRIM(SUBSTITUTE(SUBSTITUTE(SUBSTITUTE(SUBSTITUTE(SUBSTITUTE(SUBSTITUTE(SUBSTITUTE(SUBSTITUTE(SUBSTITUTE(SUBSTITUTE(SUBSTITUTE(SUBSTITUTE(SUBSTITUTE(SUBSTITUTE(SUBSTITUTE(SUBSTITUTE(Q74, Y74, ""), AA74, ""), AC74, ""), AE74, ""), AG74, ""), AK74, ""), AO74, ""), AQ74, ""), AS74, ""), AU74, ""), AW74, ""), AY74, ""), BA74, ""), BC74, ""), BE74, ""), BG74, ""))</f>
        <v/>
      </c>
      <c r="BR74" s="78"/>
      <c r="BS74" s="78"/>
      <c r="BT74" s="78" t="str">
        <f>VLOOKUP(A74,[2]Hoja1!$A$2:$B$123,2,FALSE)</f>
        <v>BIL</v>
      </c>
      <c r="BU74" s="71">
        <v>68</v>
      </c>
      <c r="BV74" s="71" t="s">
        <v>537</v>
      </c>
    </row>
    <row r="75" spans="1:76" ht="13.5" customHeight="1" x14ac:dyDescent="0.25">
      <c r="A75" s="70">
        <v>3236103</v>
      </c>
      <c r="B75" s="71" t="s">
        <v>190</v>
      </c>
      <c r="C75" s="71">
        <v>68</v>
      </c>
      <c r="D75" s="72" t="s">
        <v>91</v>
      </c>
      <c r="E75" s="73" t="s">
        <v>102</v>
      </c>
      <c r="F75" s="74">
        <v>46083</v>
      </c>
      <c r="G75" s="73" t="s">
        <v>103</v>
      </c>
      <c r="H75" s="73"/>
      <c r="K75" s="71" t="s">
        <v>229</v>
      </c>
      <c r="M75" s="70" t="s">
        <v>229</v>
      </c>
      <c r="O75" s="71" t="s">
        <v>223</v>
      </c>
      <c r="P75" s="72" t="s">
        <v>229</v>
      </c>
      <c r="Q75" s="71" t="s">
        <v>224</v>
      </c>
      <c r="U75" s="75"/>
      <c r="W75" s="75"/>
      <c r="Y75" s="75"/>
      <c r="AC75" s="75"/>
      <c r="AH75" s="76"/>
      <c r="AK75" s="71"/>
      <c r="AM75" s="71"/>
      <c r="AN75" s="71"/>
      <c r="AO75" s="71" t="s">
        <v>198</v>
      </c>
      <c r="AP75" s="71" t="s">
        <v>225</v>
      </c>
      <c r="AQ75" s="71" t="s">
        <v>200</v>
      </c>
      <c r="AR75" s="75" t="s">
        <v>214</v>
      </c>
      <c r="AS75" s="71" t="s">
        <v>209</v>
      </c>
      <c r="AT75" s="75" t="s">
        <v>228</v>
      </c>
      <c r="AU75" s="75" t="s">
        <v>202</v>
      </c>
      <c r="AV75" s="75" t="s">
        <v>203</v>
      </c>
      <c r="AW75" s="75" t="s">
        <v>196</v>
      </c>
      <c r="AX75" s="75" t="str">
        <f t="shared" si="4"/>
        <v>CESAR AUGUSTO BERMEO</v>
      </c>
      <c r="AY75" s="75" t="s">
        <v>206</v>
      </c>
      <c r="AZ75" s="75" t="s">
        <v>227</v>
      </c>
      <c r="BA75" s="75" t="s">
        <v>204</v>
      </c>
      <c r="BB75" s="75" t="str">
        <f>VLOOKUP(A75,_p8_2025,2,FALSE)</f>
        <v>IVAN DARIO RODRIGUEZ BUSTAMANTE</v>
      </c>
      <c r="BE75" s="75" t="s">
        <v>208</v>
      </c>
      <c r="BF75" s="75" t="s">
        <v>317</v>
      </c>
      <c r="BP75" s="71" t="s">
        <v>208</v>
      </c>
      <c r="BQ75" s="78" t="str">
        <f t="shared" ref="BQ75:BQ77" si="5">TRIM(SUBSTITUTE(SUBSTITUTE(SUBSTITUTE(SUBSTITUTE(SUBSTITUTE(SUBSTITUTE(SUBSTITUTE(SUBSTITUTE(SUBSTITUTE(SUBSTITUTE(SUBSTITUTE(SUBSTITUTE(SUBSTITUTE(SUBSTITUTE(SUBSTITUTE(SUBSTITUTE(Q75, Y75, ""), AA75, ""), AC75, ""), AE75, ""), AG75, ""), AK75, ""), AO75, ""), AQ75, ""), AS75, ""), AU75, ""), AW75, ""), AY75, ""), BA75, ""), BC75, ""), BE75, ""), BG75, ""))</f>
        <v/>
      </c>
      <c r="BR75" s="78"/>
      <c r="BS75" s="78"/>
      <c r="BT75" s="78" t="str">
        <f>VLOOKUP(A75,[2]Hoja1!$A$2:$B$123,2,FALSE)</f>
        <v>BIL</v>
      </c>
      <c r="BU75" s="71">
        <v>72</v>
      </c>
      <c r="BV75" s="71" t="s">
        <v>537</v>
      </c>
    </row>
    <row r="76" spans="1:76" ht="13.5" customHeight="1" x14ac:dyDescent="0.25">
      <c r="A76" s="70">
        <v>3236104</v>
      </c>
      <c r="B76" s="71" t="s">
        <v>190</v>
      </c>
      <c r="C76" s="71">
        <v>73</v>
      </c>
      <c r="D76" s="72" t="s">
        <v>91</v>
      </c>
      <c r="E76" s="73" t="s">
        <v>102</v>
      </c>
      <c r="F76" s="74">
        <v>46083</v>
      </c>
      <c r="G76" s="73" t="s">
        <v>103</v>
      </c>
      <c r="H76" s="73"/>
      <c r="K76" s="71" t="s">
        <v>229</v>
      </c>
      <c r="M76" s="70" t="s">
        <v>229</v>
      </c>
      <c r="O76" s="71" t="s">
        <v>223</v>
      </c>
      <c r="P76" s="72" t="s">
        <v>229</v>
      </c>
      <c r="Q76" s="71" t="s">
        <v>224</v>
      </c>
      <c r="U76" s="75"/>
      <c r="W76" s="75"/>
      <c r="Y76" s="75"/>
      <c r="AC76" s="75"/>
      <c r="AH76" s="76"/>
      <c r="AK76" s="71"/>
      <c r="AM76" s="71"/>
      <c r="AN76" s="71"/>
      <c r="AO76" s="71" t="s">
        <v>198</v>
      </c>
      <c r="AP76" s="71" t="s">
        <v>199</v>
      </c>
      <c r="AQ76" s="71" t="s">
        <v>200</v>
      </c>
      <c r="AR76" s="75" t="s">
        <v>319</v>
      </c>
      <c r="AS76" s="71" t="s">
        <v>206</v>
      </c>
      <c r="AT76" s="75" t="s">
        <v>213</v>
      </c>
      <c r="AU76" s="75" t="s">
        <v>202</v>
      </c>
      <c r="AV76" s="75" t="s">
        <v>216</v>
      </c>
      <c r="AW76" s="75" t="s">
        <v>196</v>
      </c>
      <c r="AX76" s="75" t="str">
        <f t="shared" si="4"/>
        <v>JORGE ARMANDO PIEDRAHITA</v>
      </c>
      <c r="BA76" s="75" t="s">
        <v>204</v>
      </c>
      <c r="BB76" s="75" t="str">
        <f>VLOOKUP(A76,_p8_2025,2,FALSE)</f>
        <v>NELSON ALFREDO VARGAS MORA</v>
      </c>
      <c r="BE76" s="75" t="s">
        <v>208</v>
      </c>
      <c r="BF76" s="75" t="s">
        <v>317</v>
      </c>
      <c r="BG76" s="75" t="s">
        <v>209</v>
      </c>
      <c r="BH76" s="75" t="s">
        <v>226</v>
      </c>
      <c r="BP76" s="71" t="s">
        <v>320</v>
      </c>
      <c r="BQ76" s="78" t="str">
        <f t="shared" si="5"/>
        <v/>
      </c>
      <c r="BR76" s="78"/>
      <c r="BS76" s="78"/>
      <c r="BT76" s="78" t="str">
        <f>VLOOKUP(A76,[2]Hoja1!$A$2:$B$123,2,FALSE)</f>
        <v>BIL</v>
      </c>
      <c r="BU76" s="71">
        <v>68</v>
      </c>
      <c r="BV76" s="71" t="s">
        <v>537</v>
      </c>
      <c r="BW76" s="81">
        <f>VLOOKUP(A76,[2]PE04!$A$7:$A$328,1,FALSE)</f>
        <v>3236104</v>
      </c>
      <c r="BX76" s="81" t="str">
        <f>IFERROR(VLOOKUP( 5,[2]PE04!A1:G328,8,FALSE), "No encontrado")</f>
        <v>No encontrado</v>
      </c>
    </row>
    <row r="77" spans="1:76" ht="13.5" customHeight="1" x14ac:dyDescent="0.25">
      <c r="A77" s="79">
        <v>3236113</v>
      </c>
      <c r="B77" s="71" t="s">
        <v>190</v>
      </c>
      <c r="C77" s="71">
        <v>67</v>
      </c>
      <c r="D77" s="72" t="s">
        <v>92</v>
      </c>
      <c r="E77" s="73" t="s">
        <v>102</v>
      </c>
      <c r="F77" s="74">
        <v>46083</v>
      </c>
      <c r="G77" s="73" t="s">
        <v>103</v>
      </c>
      <c r="H77" s="73"/>
      <c r="K77" s="71" t="s">
        <v>232</v>
      </c>
      <c r="M77" s="70" t="s">
        <v>232</v>
      </c>
      <c r="O77" s="71" t="s">
        <v>223</v>
      </c>
      <c r="P77" s="72" t="s">
        <v>232</v>
      </c>
      <c r="Q77" s="71" t="s">
        <v>321</v>
      </c>
      <c r="U77" s="75"/>
      <c r="W77" s="75"/>
      <c r="Y77" s="75"/>
      <c r="AC77" s="75"/>
      <c r="AH77" s="76"/>
      <c r="AK77" s="71"/>
      <c r="AM77" s="71"/>
      <c r="AN77" s="71"/>
      <c r="AO77" s="71" t="s">
        <v>204</v>
      </c>
      <c r="AP77" s="71" t="s">
        <v>217</v>
      </c>
      <c r="AQ77" s="71" t="s">
        <v>206</v>
      </c>
      <c r="AR77" s="75" t="s">
        <v>207</v>
      </c>
      <c r="AS77" s="71"/>
      <c r="AU77" s="75" t="s">
        <v>196</v>
      </c>
      <c r="AV77" s="75" t="s">
        <v>219</v>
      </c>
      <c r="AW77" s="75" t="s">
        <v>209</v>
      </c>
      <c r="AX77" s="75" t="str">
        <f t="shared" si="4"/>
        <v>LUIS ARTURO BASTIDAS</v>
      </c>
      <c r="AY77" s="75" t="s">
        <v>198</v>
      </c>
      <c r="AZ77" s="75" t="s">
        <v>225</v>
      </c>
      <c r="BA77" s="75" t="s">
        <v>200</v>
      </c>
      <c r="BB77" s="75" t="str">
        <f>VLOOKUP(A77,_p8_2025,2,FALSE)</f>
        <v>JULIANA HERNANDEZ BARRERA</v>
      </c>
      <c r="BE77" s="75" t="s">
        <v>208</v>
      </c>
      <c r="BF77" s="75" t="s">
        <v>317</v>
      </c>
      <c r="BG77" s="75" t="s">
        <v>202</v>
      </c>
      <c r="BH77" s="75" t="s">
        <v>216</v>
      </c>
      <c r="BP77" s="71" t="s">
        <v>322</v>
      </c>
      <c r="BQ77" s="78" t="str">
        <f t="shared" si="5"/>
        <v/>
      </c>
      <c r="BR77" s="78"/>
      <c r="BS77" s="78"/>
      <c r="BT77" s="78" t="s">
        <v>538</v>
      </c>
      <c r="BU77" s="71">
        <v>73</v>
      </c>
      <c r="BV77" s="71" t="s">
        <v>537</v>
      </c>
      <c r="BW77" s="81">
        <f>VLOOKUP(A77,[2]PE04!$A$7:$A$328,1,FALSE)</f>
        <v>3236113</v>
      </c>
      <c r="BX77" s="81" t="str">
        <f>IFERROR(VLOOKUP( 5,[2]PE04!A2:G329,8,FALSE), "No encontrado")</f>
        <v>No encontrado</v>
      </c>
    </row>
    <row r="78" spans="1:76" ht="13.5" customHeight="1" x14ac:dyDescent="0.25">
      <c r="A78" s="70">
        <v>2995652</v>
      </c>
      <c r="B78" s="71" t="s">
        <v>245</v>
      </c>
      <c r="C78" s="71">
        <v>53</v>
      </c>
      <c r="D78" s="72" t="s">
        <v>101</v>
      </c>
      <c r="E78" s="73" t="s">
        <v>104</v>
      </c>
      <c r="F78" s="74">
        <f>IF(
OR(((ROUND((G78-E78)/30,0))=27),((ROUND((G78-E78)/30,0))=15)),
EDATE(G78,-6),
IF(
(ROUND((G78-E78)/30,0))=12,
EDATE(G78,-3),
IF(
(ROUND((G78-E78)/30,0))=9,
EDATE(G78,0),"CALCULAR")))</f>
        <v>46084</v>
      </c>
      <c r="G78" s="73" t="s">
        <v>105</v>
      </c>
      <c r="H78" s="73" t="s">
        <v>315</v>
      </c>
      <c r="I78" s="71" t="s">
        <v>315</v>
      </c>
      <c r="J78" s="71" t="s">
        <v>227</v>
      </c>
      <c r="M78" s="70" t="s">
        <v>315</v>
      </c>
      <c r="N78" s="71" t="s">
        <v>192</v>
      </c>
      <c r="O78" s="71" t="s">
        <v>192</v>
      </c>
      <c r="P78" s="72" t="s">
        <v>218</v>
      </c>
      <c r="Q78" s="73" t="s">
        <v>297</v>
      </c>
      <c r="R78" s="71" t="s">
        <v>294</v>
      </c>
      <c r="S78" s="75" t="s">
        <v>208</v>
      </c>
      <c r="T78" s="75" t="s">
        <v>289</v>
      </c>
      <c r="U78" s="75" t="s">
        <v>204</v>
      </c>
      <c r="V78" s="71" t="s">
        <v>217</v>
      </c>
      <c r="W78" s="75" t="s">
        <v>198</v>
      </c>
      <c r="X78" s="71" t="s">
        <v>225</v>
      </c>
      <c r="Y78" s="75" t="s">
        <v>254</v>
      </c>
      <c r="Z78" s="71" t="s">
        <v>276</v>
      </c>
      <c r="AA78" s="71" t="s">
        <v>209</v>
      </c>
      <c r="AB78" s="71" t="s">
        <v>236</v>
      </c>
      <c r="AC78" s="75" t="s">
        <v>202</v>
      </c>
      <c r="AD78" s="71" t="s">
        <v>216</v>
      </c>
      <c r="AE78" s="71" t="s">
        <v>206</v>
      </c>
      <c r="AF78" s="71" t="s">
        <v>227</v>
      </c>
      <c r="AG78" s="71" t="s">
        <v>242</v>
      </c>
      <c r="AH78" s="76" t="s">
        <v>243</v>
      </c>
      <c r="AK78" s="71" t="s">
        <v>196</v>
      </c>
      <c r="AL78" s="75" t="s">
        <v>267</v>
      </c>
      <c r="AM78" s="71"/>
      <c r="AN78" s="71"/>
      <c r="AO78" s="71" t="s">
        <v>200</v>
      </c>
      <c r="AP78" s="71" t="s">
        <v>214</v>
      </c>
      <c r="AQ78" s="71"/>
      <c r="AS78" s="71"/>
      <c r="AT78" s="75" t="s">
        <v>218</v>
      </c>
      <c r="AV78" s="75" t="s">
        <v>218</v>
      </c>
      <c r="AX78" s="75" t="str">
        <f t="shared" si="4"/>
        <v/>
      </c>
      <c r="BP78" s="71"/>
      <c r="BQ78" s="71"/>
      <c r="BR78" s="71"/>
      <c r="BS78" s="71"/>
      <c r="BT78" s="78" t="str">
        <f>VLOOKUP(A78,[2]Hoja1!$A$2:$B$123,2,FALSE)</f>
        <v>BIL</v>
      </c>
      <c r="BU78" s="71">
        <v>35</v>
      </c>
      <c r="BV78" s="71" t="s">
        <v>534</v>
      </c>
    </row>
    <row r="79" spans="1:76" ht="13.5" customHeight="1" x14ac:dyDescent="0.25">
      <c r="A79" s="77">
        <v>3287439</v>
      </c>
      <c r="B79" s="71" t="s">
        <v>190</v>
      </c>
      <c r="C79" s="71">
        <v>61</v>
      </c>
      <c r="D79" s="72" t="s">
        <v>92</v>
      </c>
      <c r="E79" s="73" t="s">
        <v>106</v>
      </c>
      <c r="F79" s="74">
        <v>46140</v>
      </c>
      <c r="G79" s="73" t="s">
        <v>107</v>
      </c>
      <c r="H79" s="73"/>
      <c r="K79" s="71" t="s">
        <v>232</v>
      </c>
      <c r="M79" s="70" t="s">
        <v>232</v>
      </c>
      <c r="O79" s="71" t="s">
        <v>238</v>
      </c>
      <c r="P79" s="72" t="s">
        <v>232</v>
      </c>
      <c r="Q79" s="71" t="s">
        <v>321</v>
      </c>
      <c r="U79" s="75"/>
      <c r="W79" s="75"/>
      <c r="Y79" s="75"/>
      <c r="AC79" s="75"/>
      <c r="AH79" s="76"/>
      <c r="AK79" s="71"/>
      <c r="AM79" s="71"/>
      <c r="AN79" s="71"/>
      <c r="AO79" s="71"/>
      <c r="AP79" s="71"/>
      <c r="AQ79" s="71"/>
      <c r="AS79" s="71" t="s">
        <v>200</v>
      </c>
      <c r="AT79" s="75" t="s">
        <v>214</v>
      </c>
      <c r="AU79" s="75" t="s">
        <v>206</v>
      </c>
      <c r="AV79" s="75" t="s">
        <v>213</v>
      </c>
      <c r="AW79" s="75" t="s">
        <v>204</v>
      </c>
      <c r="AX79" s="75" t="str">
        <f t="shared" si="4"/>
        <v>IVAN DARIO RODRIGUEZ BUSTAMANTE</v>
      </c>
      <c r="AY79" s="75" t="s">
        <v>198</v>
      </c>
      <c r="AZ79" s="75" t="s">
        <v>299</v>
      </c>
      <c r="BA79" s="75" t="s">
        <v>202</v>
      </c>
      <c r="BB79" t="s">
        <v>203</v>
      </c>
      <c r="BD79" s="78"/>
      <c r="BE79" s="75" t="s">
        <v>208</v>
      </c>
      <c r="BF79" s="75" t="s">
        <v>239</v>
      </c>
      <c r="BG79" s="75" t="s">
        <v>209</v>
      </c>
      <c r="BH79" s="75" t="s">
        <v>226</v>
      </c>
      <c r="BI79" s="75" t="s">
        <v>196</v>
      </c>
      <c r="BJ79" s="75" t="s">
        <v>539</v>
      </c>
      <c r="BK79" s="75" t="s">
        <v>233</v>
      </c>
      <c r="BP79" s="71" t="s">
        <v>320</v>
      </c>
      <c r="BQ79" s="78" t="str">
        <f t="shared" ref="BQ79:BQ142" si="6">TRIM(SUBSTITUTE(SUBSTITUTE(SUBSTITUTE(SUBSTITUTE(SUBSTITUTE(SUBSTITUTE(SUBSTITUTE(SUBSTITUTE(SUBSTITUTE(SUBSTITUTE(SUBSTITUTE(SUBSTITUTE(SUBSTITUTE(SUBSTITUTE(SUBSTITUTE(SUBSTITUTE(Q79, Y79, ""), AA79, ""), AC79, ""), AE79, ""), AG79, ""), AK79, ""), AO79, ""), AQ79, ""), AS79, ""), AU79, ""), AW79, ""), AY79, ""), BA79, ""), BC79, ""), BE79, ""), BG79, ""))</f>
        <v>COM</v>
      </c>
      <c r="BR79" s="78" t="str">
        <f>TRIM(SUBSTITUTE(SUBSTITUTE(SUBSTITUTE(SUBSTITUTE(SUBSTITUTE(SUBSTITUTE(SUBSTITUTE(SUBSTITUTE(SUBSTITUTE(SUBSTITUTE(SUBSTITUTE(SUBSTITUTE(SUBSTITUTE(SUBSTITUTE(SUBSTITUTE(SUBSTITUTE(SUBSTITUTE(Q79, Y79, ""), AA79, ""), AC79, ""), AE79, ""), AG79, ""), AK79, ""), AO79, ""), AQ79, ""), AS79, ""), AU79, ""), AW79, ""), AY79, ""), BA79, ""), BC79, ""), BE79, ""), BG79, ""),BI79, ""))</f>
        <v/>
      </c>
      <c r="BS79" s="78" t="str">
        <f>TRIM(SUBSTITUTE(SUBSTITUTE(SUBSTITUTE(SUBSTITUTE(SUBSTITUTE(SUBSTITUTE(SUBSTITUTE(SUBSTITUTE(SUBSTITUTE(SUBSTITUTE(SUBSTITUTE(SUBSTITUTE(SUBSTITUTE(SUBSTITUTE(SUBSTITUTE(SUBSTITUTE(SUBSTITUTE(Q79, Y79, ""), AA79, ""), AC79, ""), AE79, ""), AG79, ""), AK79, ""), AO79, ""), AQ79, ""), AS79, ""), AU79, ""), AW79, ""), AY79, ""), BA79, ""), BC79, ""), BE79, ""), BG79, ""),BI79, ""))</f>
        <v/>
      </c>
      <c r="BT79" s="78" t="s">
        <v>540</v>
      </c>
      <c r="BU79" s="71">
        <v>51</v>
      </c>
      <c r="BV79" s="71" t="s">
        <v>537</v>
      </c>
      <c r="BW79" s="81">
        <f>VLOOKUP(A79,[2]PE04!$A$7:$A$328,1,FALSE)</f>
        <v>3287439</v>
      </c>
      <c r="BX79" s="81" t="str">
        <f>IFERROR(VLOOKUP( 5,[2]PE04!A4:G331,8,FALSE), "No encontrado")</f>
        <v>No encontrado</v>
      </c>
    </row>
    <row r="80" spans="1:76" ht="13.5" customHeight="1" x14ac:dyDescent="0.25">
      <c r="A80" s="70">
        <v>3070296</v>
      </c>
      <c r="B80" s="71" t="s">
        <v>245</v>
      </c>
      <c r="C80" s="71">
        <v>39</v>
      </c>
      <c r="D80" s="72" t="s">
        <v>271</v>
      </c>
      <c r="E80" s="73" t="s">
        <v>108</v>
      </c>
      <c r="F80" s="74">
        <f t="shared" ref="F80:F115" si="7">IF(
OR(((ROUND((G80-E80)/30,0))=27),((ROUND((G80-E80)/30,0))=15)),
EDATE(G80,-6),
IF(
(ROUND((G80-E80)/30,0))=12,
EDATE(G80,-3),
IF(
(ROUND((G80-E80)/30,0))=9,
EDATE(G80,0),"CALCULAR")))</f>
        <v>46188</v>
      </c>
      <c r="G80" s="73" t="s">
        <v>109</v>
      </c>
      <c r="H80" s="73" t="s">
        <v>323</v>
      </c>
      <c r="I80" s="71" t="s">
        <v>323</v>
      </c>
      <c r="J80" s="71" t="s">
        <v>226</v>
      </c>
      <c r="M80" s="70" t="s">
        <v>324</v>
      </c>
      <c r="N80" s="71" t="s">
        <v>325</v>
      </c>
      <c r="O80" s="71" t="s">
        <v>231</v>
      </c>
      <c r="P80" s="72" t="s">
        <v>564</v>
      </c>
      <c r="Q80" s="71" t="s">
        <v>274</v>
      </c>
      <c r="R80" s="71" t="s">
        <v>326</v>
      </c>
      <c r="U80" s="75"/>
      <c r="W80" s="75"/>
      <c r="Y80" s="75" t="s">
        <v>200</v>
      </c>
      <c r="Z80" s="71" t="s">
        <v>201</v>
      </c>
      <c r="AA80" s="71" t="s">
        <v>204</v>
      </c>
      <c r="AB80" s="71" t="s">
        <v>275</v>
      </c>
      <c r="AC80" s="75" t="s">
        <v>198</v>
      </c>
      <c r="AD80" s="71" t="s">
        <v>225</v>
      </c>
      <c r="AE80" s="71" t="s">
        <v>194</v>
      </c>
      <c r="AF80" s="71" t="s">
        <v>277</v>
      </c>
      <c r="AG80" s="71" t="s">
        <v>209</v>
      </c>
      <c r="AH80" s="76" t="s">
        <v>226</v>
      </c>
      <c r="AK80" s="71" t="s">
        <v>208</v>
      </c>
      <c r="AL80" s="75" t="s">
        <v>303</v>
      </c>
      <c r="AM80" s="71"/>
      <c r="AN80" s="71"/>
      <c r="AO80" s="71" t="s">
        <v>206</v>
      </c>
      <c r="AP80" s="71" t="s">
        <v>227</v>
      </c>
      <c r="AQ80" s="71"/>
      <c r="AS80" s="71"/>
      <c r="AT80" s="75" t="s">
        <v>218</v>
      </c>
      <c r="AV80" s="75" t="s">
        <v>218</v>
      </c>
      <c r="AW80" s="75" t="s">
        <v>202</v>
      </c>
      <c r="AX80" s="75" t="str">
        <f t="shared" si="4"/>
        <v>CHRISTIAN CAMILO RODRIGUEZ SALAS</v>
      </c>
      <c r="BA80" s="75" t="s">
        <v>196</v>
      </c>
      <c r="BB80" s="75" t="str">
        <f t="shared" ref="BB80:BB88" si="8">VLOOKUP(A80,_p8_2025,2,FALSE)</f>
        <v>CESAR AUGUSTO BERMEO</v>
      </c>
      <c r="BE80" s="75" t="s">
        <v>254</v>
      </c>
      <c r="BF80" s="75" t="s">
        <v>255</v>
      </c>
      <c r="BK80" s="75" t="s">
        <v>233</v>
      </c>
      <c r="BP80" s="71" t="s">
        <v>254</v>
      </c>
      <c r="BQ80" s="78" t="str">
        <f t="shared" si="6"/>
        <v/>
      </c>
      <c r="BR80" s="78"/>
      <c r="BS80" s="78" t="str">
        <f t="shared" ref="BS80:BS108" si="9">TRIM(SUBSTITUTE(SUBSTITUTE(SUBSTITUTE(SUBSTITUTE(SUBSTITUTE(SUBSTITUTE(SUBSTITUTE(SUBSTITUTE(SUBSTITUTE(SUBSTITUTE(SUBSTITUTE(SUBSTITUTE(SUBSTITUTE(SUBSTITUTE(SUBSTITUTE(SUBSTITUTE(SUBSTITUTE(Q80, Y80, ""), AA80, ""), AC80, ""), AE80, ""), AG80, ""), AK80, ""), AO80, ""), AQ80, ""), AS80, ""), AU80, ""), AW80, ""), AY80, ""), BA80, ""), BC80, ""), BE80, ""), BG80, ""),BI80, ""))</f>
        <v/>
      </c>
      <c r="BT80" s="78" t="str">
        <f>VLOOKUP(A80,[2]Hoja1!$A$2:$B$123,2,FALSE)</f>
        <v>BIL</v>
      </c>
      <c r="BU80" s="71">
        <v>18</v>
      </c>
      <c r="BV80" s="71" t="s">
        <v>535</v>
      </c>
      <c r="BW80" s="81">
        <f>VLOOKUP(A80,[2]PE04!$A$7:$A$328,1,FALSE)</f>
        <v>3070296</v>
      </c>
      <c r="BX80" s="81" t="str">
        <f>IFERROR(VLOOKUP( 5,[2]PE04!A5:G332,8,FALSE), "No encontrado")</f>
        <v>No encontrado</v>
      </c>
    </row>
    <row r="81" spans="1:76" ht="13.5" customHeight="1" x14ac:dyDescent="0.25">
      <c r="A81" s="70">
        <v>3070313</v>
      </c>
      <c r="B81" s="71" t="s">
        <v>245</v>
      </c>
      <c r="C81" s="71">
        <v>33</v>
      </c>
      <c r="D81" s="72" t="s">
        <v>271</v>
      </c>
      <c r="E81" s="73" t="s">
        <v>108</v>
      </c>
      <c r="F81" s="74">
        <f t="shared" si="7"/>
        <v>46188</v>
      </c>
      <c r="G81" s="73" t="s">
        <v>109</v>
      </c>
      <c r="H81" s="73" t="s">
        <v>323</v>
      </c>
      <c r="I81" s="71" t="s">
        <v>323</v>
      </c>
      <c r="J81" s="71" t="s">
        <v>226</v>
      </c>
      <c r="M81" s="70" t="s">
        <v>324</v>
      </c>
      <c r="N81" s="71" t="s">
        <v>325</v>
      </c>
      <c r="O81" s="71" t="s">
        <v>231</v>
      </c>
      <c r="P81" s="72" t="s">
        <v>474</v>
      </c>
      <c r="Q81" s="71" t="s">
        <v>274</v>
      </c>
      <c r="R81" s="71" t="s">
        <v>326</v>
      </c>
      <c r="U81" s="75"/>
      <c r="W81" s="75"/>
      <c r="Y81" s="75" t="s">
        <v>200</v>
      </c>
      <c r="Z81" s="71" t="s">
        <v>286</v>
      </c>
      <c r="AA81" s="71" t="s">
        <v>204</v>
      </c>
      <c r="AB81" s="71" t="s">
        <v>269</v>
      </c>
      <c r="AC81" s="75" t="s">
        <v>198</v>
      </c>
      <c r="AD81" s="71" t="s">
        <v>199</v>
      </c>
      <c r="AE81" s="71" t="s">
        <v>194</v>
      </c>
      <c r="AF81" s="71" t="s">
        <v>277</v>
      </c>
      <c r="AG81" s="71" t="s">
        <v>209</v>
      </c>
      <c r="AH81" s="76" t="s">
        <v>236</v>
      </c>
      <c r="AK81" s="71" t="s">
        <v>208</v>
      </c>
      <c r="AL81" s="75" t="s">
        <v>303</v>
      </c>
      <c r="AM81" s="71"/>
      <c r="AN81" s="71"/>
      <c r="AO81" s="71" t="s">
        <v>206</v>
      </c>
      <c r="AP81" s="71" t="s">
        <v>227</v>
      </c>
      <c r="AQ81" s="71"/>
      <c r="AS81" s="71"/>
      <c r="AT81" s="75" t="s">
        <v>218</v>
      </c>
      <c r="AV81" s="75" t="s">
        <v>218</v>
      </c>
      <c r="AW81" s="75" t="s">
        <v>202</v>
      </c>
      <c r="AX81" s="75" t="str">
        <f t="shared" si="4"/>
        <v>MELISSA ANDREA LAITON GARNICA</v>
      </c>
      <c r="BA81" s="75" t="s">
        <v>196</v>
      </c>
      <c r="BB81" s="75" t="str">
        <f t="shared" si="8"/>
        <v>JORGE ARMANDO PIEDRAHITA</v>
      </c>
      <c r="BE81" s="75" t="s">
        <v>254</v>
      </c>
      <c r="BF81" s="75" t="s">
        <v>255</v>
      </c>
      <c r="BK81" s="75" t="s">
        <v>233</v>
      </c>
      <c r="BP81" s="71" t="s">
        <v>254</v>
      </c>
      <c r="BQ81" s="78" t="str">
        <f t="shared" si="6"/>
        <v/>
      </c>
      <c r="BR81" s="78"/>
      <c r="BS81" s="78" t="str">
        <f t="shared" si="9"/>
        <v/>
      </c>
      <c r="BT81" s="78" t="str">
        <f>VLOOKUP(A81,[2]Hoja1!$A$2:$B$123,2,FALSE)</f>
        <v>BIL</v>
      </c>
      <c r="BU81" s="71">
        <v>18</v>
      </c>
      <c r="BV81" s="71" t="s">
        <v>535</v>
      </c>
      <c r="BW81" s="81">
        <f>VLOOKUP(A81,[2]PE04!$A$7:$A$328,1,FALSE)</f>
        <v>3070313</v>
      </c>
      <c r="BX81" s="81" t="str">
        <f>IFERROR(VLOOKUP( 5,[2]PE04!A6:G333,8,FALSE), "No encontrado")</f>
        <v>No encontrado</v>
      </c>
    </row>
    <row r="82" spans="1:76" ht="13.5" customHeight="1" x14ac:dyDescent="0.25">
      <c r="A82" s="70">
        <v>3070314</v>
      </c>
      <c r="B82" s="71" t="s">
        <v>245</v>
      </c>
      <c r="C82" s="71">
        <v>35</v>
      </c>
      <c r="D82" s="72" t="s">
        <v>271</v>
      </c>
      <c r="E82" s="73" t="s">
        <v>108</v>
      </c>
      <c r="F82" s="74">
        <f t="shared" si="7"/>
        <v>46188</v>
      </c>
      <c r="G82" s="73" t="s">
        <v>109</v>
      </c>
      <c r="H82" s="73" t="s">
        <v>323</v>
      </c>
      <c r="I82" s="71" t="s">
        <v>323</v>
      </c>
      <c r="J82" s="71" t="s">
        <v>226</v>
      </c>
      <c r="M82" s="70" t="s">
        <v>324</v>
      </c>
      <c r="N82" s="71" t="s">
        <v>192</v>
      </c>
      <c r="O82" s="71" t="s">
        <v>192</v>
      </c>
      <c r="P82" s="72" t="s">
        <v>474</v>
      </c>
      <c r="Q82" s="71" t="s">
        <v>274</v>
      </c>
      <c r="R82" s="71" t="s">
        <v>326</v>
      </c>
      <c r="U82" s="75"/>
      <c r="W82" s="75"/>
      <c r="Y82" s="75" t="s">
        <v>200</v>
      </c>
      <c r="Z82" s="71" t="s">
        <v>220</v>
      </c>
      <c r="AA82" s="71" t="s">
        <v>204</v>
      </c>
      <c r="AB82" s="71" t="s">
        <v>258</v>
      </c>
      <c r="AC82" s="75" t="s">
        <v>198</v>
      </c>
      <c r="AD82" s="71" t="s">
        <v>199</v>
      </c>
      <c r="AE82" s="71" t="s">
        <v>194</v>
      </c>
      <c r="AF82" s="71" t="s">
        <v>277</v>
      </c>
      <c r="AG82" s="71" t="s">
        <v>202</v>
      </c>
      <c r="AH82" s="76" t="s">
        <v>203</v>
      </c>
      <c r="AK82" s="71" t="s">
        <v>209</v>
      </c>
      <c r="AL82" s="75" t="s">
        <v>228</v>
      </c>
      <c r="AM82" s="71"/>
      <c r="AN82" s="71"/>
      <c r="AO82" s="71" t="s">
        <v>206</v>
      </c>
      <c r="AP82" s="71" t="s">
        <v>207</v>
      </c>
      <c r="AQ82" s="71"/>
      <c r="AS82" s="71" t="s">
        <v>196</v>
      </c>
      <c r="AT82" s="75" t="s">
        <v>267</v>
      </c>
      <c r="AV82" s="75" t="s">
        <v>218</v>
      </c>
      <c r="AX82" s="75" t="str">
        <f t="shared" si="4"/>
        <v/>
      </c>
      <c r="BA82" s="75" t="s">
        <v>254</v>
      </c>
      <c r="BB82" s="75" t="str">
        <f t="shared" si="8"/>
        <v>CINDY YOHANA BOHORQUEZ GARZON</v>
      </c>
      <c r="BE82" s="75" t="s">
        <v>208</v>
      </c>
      <c r="BF82" s="75" t="s">
        <v>239</v>
      </c>
      <c r="BK82" s="75" t="s">
        <v>233</v>
      </c>
      <c r="BP82" s="71" t="s">
        <v>208</v>
      </c>
      <c r="BQ82" s="78" t="str">
        <f t="shared" si="6"/>
        <v/>
      </c>
      <c r="BR82" s="78"/>
      <c r="BS82" s="78" t="str">
        <f t="shared" si="9"/>
        <v/>
      </c>
      <c r="BT82" s="78" t="str">
        <f>VLOOKUP(A82,[2]Hoja1!$A$2:$B$123,2,FALSE)</f>
        <v>BIL</v>
      </c>
      <c r="BU82" s="71">
        <v>10</v>
      </c>
      <c r="BV82" s="71" t="s">
        <v>534</v>
      </c>
      <c r="BW82" s="81">
        <f>VLOOKUP(A82,[2]PE04!$A$7:$A$328,1,FALSE)</f>
        <v>3070314</v>
      </c>
      <c r="BX82" s="81" t="str">
        <f>IFERROR(VLOOKUP( 5,[2]PE04!A7:G334,8,FALSE), "No encontrado")</f>
        <v>No encontrado</v>
      </c>
    </row>
    <row r="83" spans="1:76" ht="13.5" customHeight="1" x14ac:dyDescent="0.25">
      <c r="A83" s="70">
        <v>3070315</v>
      </c>
      <c r="B83" s="71" t="s">
        <v>245</v>
      </c>
      <c r="C83" s="71">
        <v>38</v>
      </c>
      <c r="D83" s="72" t="s">
        <v>271</v>
      </c>
      <c r="E83" s="73" t="s">
        <v>108</v>
      </c>
      <c r="F83" s="74">
        <f t="shared" si="7"/>
        <v>46188</v>
      </c>
      <c r="G83" s="73" t="s">
        <v>109</v>
      </c>
      <c r="H83" s="73" t="s">
        <v>323</v>
      </c>
      <c r="I83" s="71" t="s">
        <v>323</v>
      </c>
      <c r="J83" s="71" t="s">
        <v>226</v>
      </c>
      <c r="M83" s="70" t="s">
        <v>324</v>
      </c>
      <c r="N83" s="71" t="s">
        <v>192</v>
      </c>
      <c r="O83" s="71" t="s">
        <v>192</v>
      </c>
      <c r="P83" s="72" t="s">
        <v>474</v>
      </c>
      <c r="Q83" s="71" t="s">
        <v>274</v>
      </c>
      <c r="R83" s="71" t="s">
        <v>326</v>
      </c>
      <c r="U83" s="75"/>
      <c r="W83" s="75"/>
      <c r="Y83" s="75" t="s">
        <v>200</v>
      </c>
      <c r="Z83" s="71" t="s">
        <v>286</v>
      </c>
      <c r="AA83" s="71" t="s">
        <v>204</v>
      </c>
      <c r="AB83" s="71" t="s">
        <v>275</v>
      </c>
      <c r="AC83" s="75"/>
      <c r="AE83" s="71" t="s">
        <v>194</v>
      </c>
      <c r="AF83" s="71" t="s">
        <v>277</v>
      </c>
      <c r="AG83" s="71" t="s">
        <v>202</v>
      </c>
      <c r="AH83" s="76" t="s">
        <v>203</v>
      </c>
      <c r="AK83" s="71" t="s">
        <v>209</v>
      </c>
      <c r="AL83" s="75" t="s">
        <v>236</v>
      </c>
      <c r="AM83" s="71"/>
      <c r="AN83" s="71"/>
      <c r="AO83" s="71"/>
      <c r="AP83" s="71"/>
      <c r="AQ83" s="71"/>
      <c r="AS83" s="71" t="s">
        <v>198</v>
      </c>
      <c r="AT83" s="75" t="s">
        <v>299</v>
      </c>
      <c r="AV83" s="75" t="s">
        <v>218</v>
      </c>
      <c r="AW83" s="75" t="s">
        <v>208</v>
      </c>
      <c r="AX83" s="75" t="str">
        <f t="shared" si="4"/>
        <v>MARIA CAROLINA GOMEZ CALLE</v>
      </c>
      <c r="BA83" s="75" t="s">
        <v>206</v>
      </c>
      <c r="BB83" s="75" t="str">
        <f t="shared" si="8"/>
        <v>JORGE IVAN PEREZ GAITAN</v>
      </c>
      <c r="BE83" s="75" t="s">
        <v>196</v>
      </c>
      <c r="BF83" s="75" t="s">
        <v>219</v>
      </c>
      <c r="BI83" s="75" t="s">
        <v>254</v>
      </c>
      <c r="BJ83" s="75" t="s">
        <v>255</v>
      </c>
      <c r="BK83" s="75" t="s">
        <v>233</v>
      </c>
      <c r="BP83" s="71" t="s">
        <v>327</v>
      </c>
      <c r="BQ83" s="78" t="str">
        <f t="shared" si="6"/>
        <v>INV</v>
      </c>
      <c r="BR83" s="78" t="str">
        <f t="shared" ref="BR83:BR85" si="10">TRIM(SUBSTITUTE(SUBSTITUTE(SUBSTITUTE(SUBSTITUTE(SUBSTITUTE(SUBSTITUTE(SUBSTITUTE(SUBSTITUTE(SUBSTITUTE(SUBSTITUTE(SUBSTITUTE(SUBSTITUTE(SUBSTITUTE(SUBSTITUTE(SUBSTITUTE(SUBSTITUTE(SUBSTITUTE(Q83, Y83, ""), AA83, ""), AC83, ""), AE83, ""), AG83, ""), AK83, ""), AO83, ""), AQ83, ""), AS83, ""), AU83, ""), AW83, ""), AY83, ""), BA83, ""), BC83, ""), BE83, ""), BG83, ""),BI83, ""))</f>
        <v/>
      </c>
      <c r="BS83" s="78" t="str">
        <f t="shared" si="9"/>
        <v/>
      </c>
      <c r="BT83" s="78" t="str">
        <f>VLOOKUP(A83,[2]Hoja1!$A$2:$B$123,2,FALSE)</f>
        <v>BIL</v>
      </c>
      <c r="BU83" s="71">
        <v>12</v>
      </c>
      <c r="BV83" s="71" t="s">
        <v>534</v>
      </c>
      <c r="BW83" s="81">
        <f>VLOOKUP(A83,[2]PE04!$A$7:$A$328,1,FALSE)</f>
        <v>3070315</v>
      </c>
      <c r="BX83" s="81" t="str">
        <f>IFERROR(VLOOKUP( 5,[2]PE04!A8:G335,8,FALSE), "No encontrado")</f>
        <v>No encontrado</v>
      </c>
    </row>
    <row r="84" spans="1:76" ht="13.5" customHeight="1" x14ac:dyDescent="0.25">
      <c r="A84" s="70">
        <v>3070316</v>
      </c>
      <c r="B84" s="71" t="s">
        <v>245</v>
      </c>
      <c r="C84" s="71">
        <v>35</v>
      </c>
      <c r="D84" s="72" t="s">
        <v>271</v>
      </c>
      <c r="E84" s="73" t="s">
        <v>108</v>
      </c>
      <c r="F84" s="74">
        <f t="shared" si="7"/>
        <v>46188</v>
      </c>
      <c r="G84" s="73" t="s">
        <v>109</v>
      </c>
      <c r="H84" s="73" t="s">
        <v>323</v>
      </c>
      <c r="I84" s="71" t="s">
        <v>323</v>
      </c>
      <c r="J84" s="71" t="s">
        <v>226</v>
      </c>
      <c r="M84" s="70" t="s">
        <v>328</v>
      </c>
      <c r="N84" s="71" t="s">
        <v>329</v>
      </c>
      <c r="O84" s="71" t="s">
        <v>329</v>
      </c>
      <c r="P84" s="72" t="s">
        <v>328</v>
      </c>
      <c r="Q84" s="71" t="s">
        <v>274</v>
      </c>
      <c r="R84" s="71" t="s">
        <v>326</v>
      </c>
      <c r="U84" s="75"/>
      <c r="W84" s="75"/>
      <c r="Y84" s="75" t="s">
        <v>200</v>
      </c>
      <c r="Z84" s="71" t="s">
        <v>220</v>
      </c>
      <c r="AA84" s="71" t="s">
        <v>204</v>
      </c>
      <c r="AB84" s="71" t="s">
        <v>269</v>
      </c>
      <c r="AC84" s="75"/>
      <c r="AE84" s="71" t="s">
        <v>194</v>
      </c>
      <c r="AF84" s="71" t="s">
        <v>277</v>
      </c>
      <c r="AG84" s="71" t="s">
        <v>202</v>
      </c>
      <c r="AH84" s="76" t="s">
        <v>203</v>
      </c>
      <c r="AK84" s="71" t="s">
        <v>209</v>
      </c>
      <c r="AL84" s="75" t="s">
        <v>228</v>
      </c>
      <c r="AM84" s="71"/>
      <c r="AN84" s="71"/>
      <c r="AO84" s="71"/>
      <c r="AP84" s="71"/>
      <c r="AQ84" s="71"/>
      <c r="AS84" s="71" t="s">
        <v>198</v>
      </c>
      <c r="AT84" s="75" t="s">
        <v>199</v>
      </c>
      <c r="AV84" s="75" t="s">
        <v>218</v>
      </c>
      <c r="AW84" s="75" t="s">
        <v>208</v>
      </c>
      <c r="AX84" s="75" t="str">
        <f t="shared" si="4"/>
        <v>LAURA STHEPHANIA SANCHEZ PABON</v>
      </c>
      <c r="BA84" s="75" t="s">
        <v>206</v>
      </c>
      <c r="BB84" s="75" t="str">
        <f t="shared" si="8"/>
        <v>JORGE IVAN PEREZ GAITAN</v>
      </c>
      <c r="BE84" s="75" t="s">
        <v>196</v>
      </c>
      <c r="BF84" s="75" t="s">
        <v>219</v>
      </c>
      <c r="BI84" s="75" t="s">
        <v>254</v>
      </c>
      <c r="BJ84" s="75" t="s">
        <v>255</v>
      </c>
      <c r="BK84" s="75" t="s">
        <v>233</v>
      </c>
      <c r="BP84" s="71" t="s">
        <v>327</v>
      </c>
      <c r="BQ84" s="78" t="str">
        <f t="shared" si="6"/>
        <v>INV</v>
      </c>
      <c r="BR84" s="78" t="str">
        <f t="shared" si="10"/>
        <v/>
      </c>
      <c r="BS84" s="78" t="str">
        <f t="shared" si="9"/>
        <v/>
      </c>
      <c r="BT84" s="78" t="str">
        <f>VLOOKUP(A84,[2]Hoja1!$A$2:$B$123,2,FALSE)</f>
        <v>BIL</v>
      </c>
      <c r="BU84" s="71">
        <v>12</v>
      </c>
      <c r="BV84" s="71" t="s">
        <v>534</v>
      </c>
      <c r="BW84" s="81">
        <f>VLOOKUP(A84,[2]PE04!$A$7:$A$328,1,FALSE)</f>
        <v>3070316</v>
      </c>
      <c r="BX84" s="81" t="str">
        <f>IFERROR(VLOOKUP( 5,[2]PE04!A9:G336,8,FALSE), "No encontrado")</f>
        <v>No encontrado</v>
      </c>
    </row>
    <row r="85" spans="1:76" ht="13.5" customHeight="1" x14ac:dyDescent="0.25">
      <c r="A85" s="70">
        <v>3070317</v>
      </c>
      <c r="B85" s="71" t="s">
        <v>245</v>
      </c>
      <c r="C85" s="71">
        <v>36</v>
      </c>
      <c r="D85" s="72" t="s">
        <v>271</v>
      </c>
      <c r="E85" s="73" t="s">
        <v>108</v>
      </c>
      <c r="F85" s="74">
        <f t="shared" si="7"/>
        <v>46188</v>
      </c>
      <c r="G85" s="73" t="s">
        <v>109</v>
      </c>
      <c r="H85" s="73" t="s">
        <v>272</v>
      </c>
      <c r="I85" s="71" t="s">
        <v>272</v>
      </c>
      <c r="J85" s="71" t="s">
        <v>226</v>
      </c>
      <c r="M85" s="70" t="s">
        <v>328</v>
      </c>
      <c r="N85" s="71" t="s">
        <v>330</v>
      </c>
      <c r="O85" s="71" t="s">
        <v>329</v>
      </c>
      <c r="P85" s="72" t="s">
        <v>328</v>
      </c>
      <c r="Q85" s="71" t="s">
        <v>274</v>
      </c>
      <c r="R85" s="71" t="s">
        <v>326</v>
      </c>
      <c r="U85" s="75"/>
      <c r="W85" s="75"/>
      <c r="Y85" s="75" t="s">
        <v>200</v>
      </c>
      <c r="Z85" s="71" t="s">
        <v>201</v>
      </c>
      <c r="AA85" s="71" t="s">
        <v>204</v>
      </c>
      <c r="AB85" s="71" t="s">
        <v>258</v>
      </c>
      <c r="AC85" s="75"/>
      <c r="AE85" s="71" t="s">
        <v>194</v>
      </c>
      <c r="AF85" s="71" t="s">
        <v>277</v>
      </c>
      <c r="AG85" s="71" t="s">
        <v>202</v>
      </c>
      <c r="AH85" s="76" t="s">
        <v>203</v>
      </c>
      <c r="AK85" s="71" t="s">
        <v>209</v>
      </c>
      <c r="AL85" s="75" t="s">
        <v>226</v>
      </c>
      <c r="AM85" s="71"/>
      <c r="AN85" s="71"/>
      <c r="AO85" s="71"/>
      <c r="AP85" s="71"/>
      <c r="AQ85" s="71"/>
      <c r="AS85" s="71" t="s">
        <v>198</v>
      </c>
      <c r="AT85" s="75" t="s">
        <v>299</v>
      </c>
      <c r="AV85" s="75" t="s">
        <v>218</v>
      </c>
      <c r="AW85" s="75" t="s">
        <v>208</v>
      </c>
      <c r="AX85" s="75" t="str">
        <f t="shared" si="4"/>
        <v>HECTOR ANDRES CIPAMOCHA CENTENO</v>
      </c>
      <c r="BA85" s="75" t="s">
        <v>206</v>
      </c>
      <c r="BB85" s="75" t="str">
        <f t="shared" si="8"/>
        <v>DEISY JULIETH GARCIA CASTAÑEDA</v>
      </c>
      <c r="BE85" s="75" t="s">
        <v>196</v>
      </c>
      <c r="BF85" s="75" t="s">
        <v>219</v>
      </c>
      <c r="BI85" s="75" t="s">
        <v>254</v>
      </c>
      <c r="BJ85" s="75" t="s">
        <v>255</v>
      </c>
      <c r="BK85" s="75" t="s">
        <v>233</v>
      </c>
      <c r="BP85" s="71" t="s">
        <v>327</v>
      </c>
      <c r="BQ85" s="78" t="str">
        <f t="shared" si="6"/>
        <v>INV</v>
      </c>
      <c r="BR85" s="78" t="str">
        <f t="shared" si="10"/>
        <v/>
      </c>
      <c r="BS85" s="78" t="str">
        <f t="shared" si="9"/>
        <v/>
      </c>
      <c r="BT85" s="78" t="str">
        <f>VLOOKUP(A85,[2]Hoja1!$A$2:$B$123,2,FALSE)</f>
        <v>BIL</v>
      </c>
      <c r="BU85" s="71">
        <v>18</v>
      </c>
      <c r="BV85" s="71" t="s">
        <v>535</v>
      </c>
      <c r="BW85" s="81">
        <f>VLOOKUP(A85,[2]PE04!$A$7:$A$328,1,FALSE)</f>
        <v>3070317</v>
      </c>
      <c r="BX85" s="81" t="str">
        <f>IFERROR(VLOOKUP( 5,[2]PE04!A10:G337,8,FALSE), "No encontrado")</f>
        <v>No encontrado</v>
      </c>
    </row>
    <row r="86" spans="1:76" ht="13.5" customHeight="1" x14ac:dyDescent="0.25">
      <c r="A86" s="70">
        <v>3070318</v>
      </c>
      <c r="B86" s="71" t="s">
        <v>245</v>
      </c>
      <c r="C86" s="71">
        <v>36</v>
      </c>
      <c r="D86" s="72" t="s">
        <v>271</v>
      </c>
      <c r="E86" s="73" t="s">
        <v>108</v>
      </c>
      <c r="F86" s="74">
        <f t="shared" si="7"/>
        <v>46188</v>
      </c>
      <c r="G86" s="73" t="s">
        <v>109</v>
      </c>
      <c r="H86" s="73" t="s">
        <v>272</v>
      </c>
      <c r="I86" s="71" t="s">
        <v>272</v>
      </c>
      <c r="J86" s="71" t="s">
        <v>226</v>
      </c>
      <c r="M86" s="70" t="s">
        <v>328</v>
      </c>
      <c r="N86" s="71" t="s">
        <v>223</v>
      </c>
      <c r="O86" s="71" t="s">
        <v>223</v>
      </c>
      <c r="P86" s="72" t="s">
        <v>328</v>
      </c>
      <c r="Q86" s="71" t="s">
        <v>274</v>
      </c>
      <c r="R86" s="71" t="s">
        <v>326</v>
      </c>
      <c r="U86" s="75"/>
      <c r="W86" s="75"/>
      <c r="Y86" s="75" t="s">
        <v>200</v>
      </c>
      <c r="Z86" s="71" t="s">
        <v>220</v>
      </c>
      <c r="AA86" s="71" t="s">
        <v>204</v>
      </c>
      <c r="AB86" s="71" t="s">
        <v>269</v>
      </c>
      <c r="AC86" s="75" t="s">
        <v>206</v>
      </c>
      <c r="AD86" s="71" t="s">
        <v>227</v>
      </c>
      <c r="AE86" s="71" t="s">
        <v>198</v>
      </c>
      <c r="AF86" s="71" t="s">
        <v>225</v>
      </c>
      <c r="AG86" s="71" t="s">
        <v>202</v>
      </c>
      <c r="AH86" s="76" t="s">
        <v>216</v>
      </c>
      <c r="AK86" s="71" t="s">
        <v>208</v>
      </c>
      <c r="AL86" s="75" t="s">
        <v>278</v>
      </c>
      <c r="AM86" s="71"/>
      <c r="AN86" s="71"/>
      <c r="AO86" s="71" t="s">
        <v>209</v>
      </c>
      <c r="AP86" s="71" t="s">
        <v>228</v>
      </c>
      <c r="AQ86" s="71"/>
      <c r="AS86" s="71" t="s">
        <v>194</v>
      </c>
      <c r="AT86" s="75" t="s">
        <v>195</v>
      </c>
      <c r="AV86" s="75" t="s">
        <v>218</v>
      </c>
      <c r="AX86" s="75" t="str">
        <f t="shared" si="4"/>
        <v/>
      </c>
      <c r="BA86" s="75" t="s">
        <v>196</v>
      </c>
      <c r="BB86" s="75" t="str">
        <f t="shared" si="8"/>
        <v>CESAR AUGUSTO BERMEO</v>
      </c>
      <c r="BE86" s="75" t="s">
        <v>254</v>
      </c>
      <c r="BF86" s="75" t="s">
        <v>255</v>
      </c>
      <c r="BK86" s="75" t="s">
        <v>233</v>
      </c>
      <c r="BP86" s="71" t="s">
        <v>254</v>
      </c>
      <c r="BQ86" s="78" t="str">
        <f t="shared" si="6"/>
        <v/>
      </c>
      <c r="BR86" s="78"/>
      <c r="BS86" s="78" t="str">
        <f t="shared" si="9"/>
        <v/>
      </c>
      <c r="BT86" s="78" t="str">
        <f>VLOOKUP(A86,[2]Hoja1!$A$2:$B$123,2,FALSE)</f>
        <v>BIL</v>
      </c>
      <c r="BU86" s="71">
        <v>19</v>
      </c>
      <c r="BV86" s="71" t="s">
        <v>534</v>
      </c>
      <c r="BW86" s="81">
        <f>VLOOKUP(A86,[2]PE04!$A$7:$A$328,1,FALSE)</f>
        <v>3070318</v>
      </c>
      <c r="BX86" s="81" t="str">
        <f>IFERROR(VLOOKUP( 5,[2]PE04!A11:G338,8,FALSE), "No encontrado")</f>
        <v>No encontrado</v>
      </c>
    </row>
    <row r="87" spans="1:76" ht="13.5" customHeight="1" x14ac:dyDescent="0.25">
      <c r="A87" s="70">
        <v>3070319</v>
      </c>
      <c r="B87" s="71" t="s">
        <v>245</v>
      </c>
      <c r="C87" s="71">
        <v>35</v>
      </c>
      <c r="D87" s="72" t="s">
        <v>271</v>
      </c>
      <c r="E87" s="73" t="s">
        <v>108</v>
      </c>
      <c r="F87" s="74">
        <f t="shared" si="7"/>
        <v>46188</v>
      </c>
      <c r="G87" s="73" t="s">
        <v>109</v>
      </c>
      <c r="H87" s="73" t="s">
        <v>272</v>
      </c>
      <c r="I87" s="71" t="s">
        <v>272</v>
      </c>
      <c r="J87" s="71" t="s">
        <v>226</v>
      </c>
      <c r="M87" s="70" t="s">
        <v>328</v>
      </c>
      <c r="N87" s="71" t="s">
        <v>223</v>
      </c>
      <c r="O87" s="71" t="s">
        <v>223</v>
      </c>
      <c r="P87" s="72" t="s">
        <v>328</v>
      </c>
      <c r="Q87" s="71" t="s">
        <v>274</v>
      </c>
      <c r="R87" s="71" t="s">
        <v>326</v>
      </c>
      <c r="U87" s="75"/>
      <c r="W87" s="75"/>
      <c r="Y87" s="75" t="s">
        <v>200</v>
      </c>
      <c r="Z87" s="71" t="s">
        <v>286</v>
      </c>
      <c r="AA87" s="71" t="s">
        <v>204</v>
      </c>
      <c r="AB87" s="71" t="s">
        <v>217</v>
      </c>
      <c r="AC87" s="75"/>
      <c r="AE87" s="71" t="s">
        <v>198</v>
      </c>
      <c r="AF87" s="71" t="s">
        <v>225</v>
      </c>
      <c r="AG87" s="71" t="s">
        <v>202</v>
      </c>
      <c r="AH87" s="76" t="s">
        <v>216</v>
      </c>
      <c r="AK87" s="71" t="s">
        <v>209</v>
      </c>
      <c r="AL87" s="75" t="s">
        <v>228</v>
      </c>
      <c r="AM87" s="71"/>
      <c r="AN87" s="71"/>
      <c r="AO87" s="71"/>
      <c r="AP87" s="71"/>
      <c r="AQ87" s="71"/>
      <c r="AS87" s="71" t="s">
        <v>208</v>
      </c>
      <c r="AT87" s="75" t="s">
        <v>278</v>
      </c>
      <c r="AV87" s="75" t="s">
        <v>218</v>
      </c>
      <c r="AW87" s="75" t="s">
        <v>194</v>
      </c>
      <c r="AX87" s="75" t="str">
        <f t="shared" si="4"/>
        <v>CAMILO ERNESTO CALDERON GALINDO</v>
      </c>
      <c r="BA87" s="75" t="s">
        <v>206</v>
      </c>
      <c r="BB87" s="75" t="str">
        <f t="shared" si="8"/>
        <v>MARINELLA DIAZ ACOSTA</v>
      </c>
      <c r="BE87" s="75" t="s">
        <v>254</v>
      </c>
      <c r="BF87" s="75" t="s">
        <v>255</v>
      </c>
      <c r="BI87" s="75" t="s">
        <v>196</v>
      </c>
      <c r="BJ87" s="75" t="s">
        <v>267</v>
      </c>
      <c r="BK87" s="75" t="s">
        <v>233</v>
      </c>
      <c r="BP87" s="71" t="s">
        <v>327</v>
      </c>
      <c r="BQ87" s="78" t="str">
        <f t="shared" si="6"/>
        <v>COM</v>
      </c>
      <c r="BR87" s="78" t="str">
        <f t="shared" ref="BR87:BR90" si="11">TRIM(SUBSTITUTE(SUBSTITUTE(SUBSTITUTE(SUBSTITUTE(SUBSTITUTE(SUBSTITUTE(SUBSTITUTE(SUBSTITUTE(SUBSTITUTE(SUBSTITUTE(SUBSTITUTE(SUBSTITUTE(SUBSTITUTE(SUBSTITUTE(SUBSTITUTE(SUBSTITUTE(SUBSTITUTE(Q87, Y87, ""), AA87, ""), AC87, ""), AE87, ""), AG87, ""), AK87, ""), AO87, ""), AQ87, ""), AS87, ""), AU87, ""), AW87, ""), AY87, ""), BA87, ""), BC87, ""), BE87, ""), BG87, ""),BI87, ""))</f>
        <v/>
      </c>
      <c r="BS87" s="78" t="str">
        <f t="shared" si="9"/>
        <v/>
      </c>
      <c r="BT87" s="78" t="str">
        <f>VLOOKUP(A87,[2]Hoja1!$A$2:$B$123,2,FALSE)</f>
        <v>BIL</v>
      </c>
      <c r="BU87" s="71">
        <v>18</v>
      </c>
      <c r="BV87" s="71" t="s">
        <v>534</v>
      </c>
      <c r="BW87" s="81">
        <f>VLOOKUP(A87,[2]PE04!$A$7:$A$328,1,FALSE)</f>
        <v>3070319</v>
      </c>
      <c r="BX87" s="81" t="str">
        <f>IFERROR(VLOOKUP( 5,[2]PE04!A12:G339,8,FALSE), "No encontrado")</f>
        <v>No encontrado</v>
      </c>
    </row>
    <row r="88" spans="1:76" ht="13.5" customHeight="1" x14ac:dyDescent="0.25">
      <c r="A88" s="70">
        <v>3070320</v>
      </c>
      <c r="B88" s="71" t="s">
        <v>245</v>
      </c>
      <c r="C88" s="71">
        <v>35</v>
      </c>
      <c r="D88" s="72" t="s">
        <v>271</v>
      </c>
      <c r="E88" s="73" t="s">
        <v>108</v>
      </c>
      <c r="F88" s="74">
        <f t="shared" si="7"/>
        <v>46188</v>
      </c>
      <c r="G88" s="73" t="s">
        <v>109</v>
      </c>
      <c r="H88" s="73" t="s">
        <v>272</v>
      </c>
      <c r="I88" s="71" t="s">
        <v>272</v>
      </c>
      <c r="J88" s="71" t="s">
        <v>226</v>
      </c>
      <c r="M88" s="70" t="s">
        <v>328</v>
      </c>
      <c r="N88" s="71" t="s">
        <v>331</v>
      </c>
      <c r="O88" s="71" t="s">
        <v>233</v>
      </c>
      <c r="P88" s="72" t="s">
        <v>387</v>
      </c>
      <c r="Q88" s="71" t="s">
        <v>274</v>
      </c>
      <c r="R88" s="71" t="s">
        <v>326</v>
      </c>
      <c r="U88" s="75"/>
      <c r="W88" s="75"/>
      <c r="Y88" s="75" t="s">
        <v>200</v>
      </c>
      <c r="Z88" s="71" t="s">
        <v>220</v>
      </c>
      <c r="AA88" s="71" t="s">
        <v>204</v>
      </c>
      <c r="AB88" s="71" t="s">
        <v>217</v>
      </c>
      <c r="AC88" s="75"/>
      <c r="AE88" s="71" t="s">
        <v>198</v>
      </c>
      <c r="AF88" s="71" t="s">
        <v>199</v>
      </c>
      <c r="AG88" s="71" t="s">
        <v>202</v>
      </c>
      <c r="AH88" s="76" t="s">
        <v>203</v>
      </c>
      <c r="AK88" s="71" t="s">
        <v>209</v>
      </c>
      <c r="AL88" s="75" t="s">
        <v>332</v>
      </c>
      <c r="AM88" s="71"/>
      <c r="AN88" s="71"/>
      <c r="AO88" s="71"/>
      <c r="AP88" s="71"/>
      <c r="AQ88" s="71"/>
      <c r="AS88" s="71" t="s">
        <v>208</v>
      </c>
      <c r="AT88" s="75" t="s">
        <v>278</v>
      </c>
      <c r="AV88" s="75" t="s">
        <v>218</v>
      </c>
      <c r="AW88" s="75" t="s">
        <v>194</v>
      </c>
      <c r="AX88" s="75" t="str">
        <f t="shared" si="4"/>
        <v>CAMILO ERNESTO CALDERON GALINDO</v>
      </c>
      <c r="BA88" s="75" t="s">
        <v>206</v>
      </c>
      <c r="BB88" s="75" t="str">
        <f t="shared" si="8"/>
        <v>JORGE IVAN PEREZ GAITAN</v>
      </c>
      <c r="BE88" s="75" t="s">
        <v>196</v>
      </c>
      <c r="BF88" s="75" t="s">
        <v>219</v>
      </c>
      <c r="BI88" s="75" t="s">
        <v>254</v>
      </c>
      <c r="BJ88" s="75" t="s">
        <v>255</v>
      </c>
      <c r="BK88" s="75" t="s">
        <v>233</v>
      </c>
      <c r="BP88" s="71" t="s">
        <v>327</v>
      </c>
      <c r="BQ88" s="78" t="str">
        <f t="shared" si="6"/>
        <v>INV</v>
      </c>
      <c r="BR88" s="78" t="str">
        <f t="shared" si="11"/>
        <v/>
      </c>
      <c r="BS88" s="78" t="str">
        <f t="shared" si="9"/>
        <v/>
      </c>
      <c r="BT88" s="78" t="str">
        <f>VLOOKUP(A88,[2]Hoja1!$A$2:$B$123,2,FALSE)</f>
        <v>BIL</v>
      </c>
      <c r="BU88" s="71">
        <v>18</v>
      </c>
      <c r="BV88" s="71" t="s">
        <v>535</v>
      </c>
      <c r="BW88" s="81">
        <f>VLOOKUP(A88,[2]PE04!$A$7:$A$328,1,FALSE)</f>
        <v>3070320</v>
      </c>
      <c r="BX88" s="81" t="str">
        <f>IFERROR(VLOOKUP( 5,[2]PE04!A13:G340,8,FALSE), "No encontrado")</f>
        <v>No encontrado</v>
      </c>
    </row>
    <row r="89" spans="1:76" ht="13.5" customHeight="1" x14ac:dyDescent="0.25">
      <c r="A89" s="70">
        <v>3070321</v>
      </c>
      <c r="B89" s="71" t="s">
        <v>245</v>
      </c>
      <c r="C89" s="71">
        <v>31</v>
      </c>
      <c r="D89" s="72" t="s">
        <v>271</v>
      </c>
      <c r="E89" s="73" t="s">
        <v>108</v>
      </c>
      <c r="F89" s="74">
        <f t="shared" si="7"/>
        <v>46188</v>
      </c>
      <c r="G89" s="73" t="s">
        <v>109</v>
      </c>
      <c r="H89" s="73" t="s">
        <v>272</v>
      </c>
      <c r="I89" s="71" t="s">
        <v>272</v>
      </c>
      <c r="J89" s="71" t="s">
        <v>226</v>
      </c>
      <c r="M89" s="70" t="s">
        <v>328</v>
      </c>
      <c r="N89" s="71" t="s">
        <v>331</v>
      </c>
      <c r="O89" s="71" t="s">
        <v>233</v>
      </c>
      <c r="P89" s="72" t="s">
        <v>387</v>
      </c>
      <c r="Q89" s="71" t="s">
        <v>274</v>
      </c>
      <c r="R89" s="71" t="s">
        <v>326</v>
      </c>
      <c r="U89" s="75"/>
      <c r="W89" s="75"/>
      <c r="Y89" s="75" t="s">
        <v>200</v>
      </c>
      <c r="Z89" s="71" t="s">
        <v>201</v>
      </c>
      <c r="AA89" s="71" t="s">
        <v>204</v>
      </c>
      <c r="AB89" s="71" t="s">
        <v>221</v>
      </c>
      <c r="AC89" s="75"/>
      <c r="AE89" s="71" t="s">
        <v>198</v>
      </c>
      <c r="AF89" s="71" t="s">
        <v>199</v>
      </c>
      <c r="AG89" s="71" t="s">
        <v>202</v>
      </c>
      <c r="AH89" s="76" t="s">
        <v>203</v>
      </c>
      <c r="AK89" s="71" t="s">
        <v>209</v>
      </c>
      <c r="AL89" s="75" t="s">
        <v>332</v>
      </c>
      <c r="AM89" s="71"/>
      <c r="AN89" s="71"/>
      <c r="AO89" s="71"/>
      <c r="AP89" s="71"/>
      <c r="AQ89" s="71"/>
      <c r="AS89" s="71" t="s">
        <v>208</v>
      </c>
      <c r="AT89" s="75" t="s">
        <v>239</v>
      </c>
      <c r="AV89" s="75" t="s">
        <v>218</v>
      </c>
      <c r="AW89" s="75" t="s">
        <v>194</v>
      </c>
      <c r="AX89" s="75" t="str">
        <f t="shared" si="4"/>
        <v>CAMILO ERNESTO CALDERON GALINDO</v>
      </c>
      <c r="BE89" s="75" t="s">
        <v>196</v>
      </c>
      <c r="BF89" s="75" t="s">
        <v>219</v>
      </c>
      <c r="BG89" s="75" t="s">
        <v>206</v>
      </c>
      <c r="BH89" s="75" t="s">
        <v>227</v>
      </c>
      <c r="BI89" s="75" t="s">
        <v>254</v>
      </c>
      <c r="BJ89" s="75" t="s">
        <v>255</v>
      </c>
      <c r="BK89" s="75" t="s">
        <v>233</v>
      </c>
      <c r="BP89" s="71" t="s">
        <v>333</v>
      </c>
      <c r="BQ89" s="78" t="str">
        <f t="shared" si="6"/>
        <v>INV</v>
      </c>
      <c r="BR89" s="78" t="str">
        <f t="shared" si="11"/>
        <v/>
      </c>
      <c r="BS89" s="78" t="str">
        <f t="shared" si="9"/>
        <v/>
      </c>
      <c r="BT89" s="78" t="str">
        <f>VLOOKUP(A89,[2]Hoja1!$A$2:$B$123,2,FALSE)</f>
        <v>BIL</v>
      </c>
      <c r="BU89" s="71">
        <v>18</v>
      </c>
      <c r="BV89" s="71" t="s">
        <v>535</v>
      </c>
      <c r="BW89" s="81">
        <f>VLOOKUP(A89,[2]PE04!$A$7:$A$328,1,FALSE)</f>
        <v>3070321</v>
      </c>
      <c r="BX89" s="81" t="str">
        <f>IFERROR(VLOOKUP( 5,[2]PE04!A14:G341,8,FALSE), "No encontrado")</f>
        <v>No encontrado</v>
      </c>
    </row>
    <row r="90" spans="1:76" ht="13.5" customHeight="1" x14ac:dyDescent="0.25">
      <c r="A90" s="70">
        <v>3070322</v>
      </c>
      <c r="B90" s="71" t="s">
        <v>245</v>
      </c>
      <c r="C90" s="71">
        <v>39</v>
      </c>
      <c r="D90" s="72" t="s">
        <v>271</v>
      </c>
      <c r="E90" s="73" t="s">
        <v>108</v>
      </c>
      <c r="F90" s="74">
        <f t="shared" si="7"/>
        <v>46188</v>
      </c>
      <c r="G90" s="73" t="s">
        <v>109</v>
      </c>
      <c r="H90" s="73" t="s">
        <v>334</v>
      </c>
      <c r="I90" s="71" t="s">
        <v>334</v>
      </c>
      <c r="J90" s="71" t="s">
        <v>226</v>
      </c>
      <c r="M90" s="70" t="s">
        <v>334</v>
      </c>
      <c r="N90" s="71" t="s">
        <v>335</v>
      </c>
      <c r="O90" s="71" t="s">
        <v>300</v>
      </c>
      <c r="P90" s="72" t="s">
        <v>334</v>
      </c>
      <c r="Q90" s="71" t="s">
        <v>274</v>
      </c>
      <c r="R90" s="71" t="s">
        <v>326</v>
      </c>
      <c r="U90" s="75"/>
      <c r="W90" s="75"/>
      <c r="Y90" s="75" t="s">
        <v>200</v>
      </c>
      <c r="Z90" s="71" t="s">
        <v>220</v>
      </c>
      <c r="AA90" s="71" t="s">
        <v>204</v>
      </c>
      <c r="AB90" s="71" t="s">
        <v>258</v>
      </c>
      <c r="AC90" s="75"/>
      <c r="AE90" s="71" t="s">
        <v>198</v>
      </c>
      <c r="AF90" s="71" t="s">
        <v>199</v>
      </c>
      <c r="AG90" s="71" t="s">
        <v>202</v>
      </c>
      <c r="AH90" s="76" t="s">
        <v>203</v>
      </c>
      <c r="AK90" s="71" t="s">
        <v>209</v>
      </c>
      <c r="AL90" s="75" t="s">
        <v>228</v>
      </c>
      <c r="AM90" s="71"/>
      <c r="AN90" s="71"/>
      <c r="AO90" s="71"/>
      <c r="AP90" s="71"/>
      <c r="AQ90" s="71"/>
      <c r="AS90" s="71" t="s">
        <v>208</v>
      </c>
      <c r="AT90" s="75" t="s">
        <v>235</v>
      </c>
      <c r="AV90" s="75" t="s">
        <v>218</v>
      </c>
      <c r="AW90" s="75" t="s">
        <v>194</v>
      </c>
      <c r="AX90" s="75" t="str">
        <f t="shared" si="4"/>
        <v>CAMILO ERNESTO CALDERON GALINDO</v>
      </c>
      <c r="BE90" s="75" t="s">
        <v>196</v>
      </c>
      <c r="BF90" s="80" t="s">
        <v>219</v>
      </c>
      <c r="BI90" s="75" t="s">
        <v>206</v>
      </c>
      <c r="BJ90" s="75" t="s">
        <v>213</v>
      </c>
      <c r="BK90" s="75" t="s">
        <v>233</v>
      </c>
      <c r="BL90" s="75" t="s">
        <v>254</v>
      </c>
      <c r="BM90" s="75" t="s">
        <v>255</v>
      </c>
      <c r="BP90" s="71" t="s">
        <v>336</v>
      </c>
      <c r="BQ90" s="78" t="str">
        <f t="shared" si="6"/>
        <v>INV SST</v>
      </c>
      <c r="BR90" s="78" t="str">
        <f t="shared" si="11"/>
        <v>INV</v>
      </c>
      <c r="BS90" s="78" t="str">
        <f t="shared" si="9"/>
        <v>INV</v>
      </c>
      <c r="BT90" s="78" t="str">
        <f>VLOOKUP(A90,[2]Hoja1!$A$2:$B$123,2,FALSE)</f>
        <v>BIL</v>
      </c>
      <c r="BU90" s="71">
        <v>18</v>
      </c>
      <c r="BV90" s="71" t="s">
        <v>535</v>
      </c>
      <c r="BW90" s="81">
        <f>VLOOKUP(A90,[2]PE04!$A$7:$A$328,1,FALSE)</f>
        <v>3070322</v>
      </c>
      <c r="BX90" s="81" t="str">
        <f>IFERROR(VLOOKUP( 5,[2]PE04!A15:G342,8,FALSE), "No encontrado")</f>
        <v>No encontrado</v>
      </c>
    </row>
    <row r="91" spans="1:76" ht="13.5" customHeight="1" x14ac:dyDescent="0.25">
      <c r="A91" s="70">
        <v>3070323</v>
      </c>
      <c r="B91" s="71" t="s">
        <v>245</v>
      </c>
      <c r="C91" s="71">
        <v>37</v>
      </c>
      <c r="D91" s="72" t="s">
        <v>271</v>
      </c>
      <c r="E91" s="73" t="s">
        <v>108</v>
      </c>
      <c r="F91" s="74">
        <f t="shared" si="7"/>
        <v>46188</v>
      </c>
      <c r="G91" s="73" t="s">
        <v>109</v>
      </c>
      <c r="H91" s="73" t="s">
        <v>334</v>
      </c>
      <c r="I91" s="71" t="s">
        <v>334</v>
      </c>
      <c r="J91" s="71" t="s">
        <v>226</v>
      </c>
      <c r="M91" s="70" t="s">
        <v>334</v>
      </c>
      <c r="N91" s="71" t="s">
        <v>335</v>
      </c>
      <c r="O91" s="71" t="s">
        <v>300</v>
      </c>
      <c r="P91" s="72" t="s">
        <v>334</v>
      </c>
      <c r="Q91" s="71" t="s">
        <v>274</v>
      </c>
      <c r="R91" s="71" t="s">
        <v>326</v>
      </c>
      <c r="U91" s="75"/>
      <c r="W91" s="75"/>
      <c r="Y91" s="75" t="s">
        <v>200</v>
      </c>
      <c r="Z91" s="71" t="s">
        <v>201</v>
      </c>
      <c r="AA91" s="71" t="s">
        <v>204</v>
      </c>
      <c r="AB91" s="71" t="s">
        <v>269</v>
      </c>
      <c r="AC91" s="75"/>
      <c r="AE91" s="71" t="s">
        <v>198</v>
      </c>
      <c r="AF91" s="71" t="s">
        <v>225</v>
      </c>
      <c r="AG91" s="71" t="s">
        <v>202</v>
      </c>
      <c r="AH91" s="76" t="s">
        <v>203</v>
      </c>
      <c r="AK91" s="71" t="s">
        <v>209</v>
      </c>
      <c r="AL91" s="75" t="s">
        <v>228</v>
      </c>
      <c r="AM91" s="71"/>
      <c r="AN91" s="71"/>
      <c r="AO91" s="71"/>
      <c r="AP91" s="71"/>
      <c r="AQ91" s="71"/>
      <c r="AS91" s="71" t="s">
        <v>208</v>
      </c>
      <c r="AT91" s="75" t="s">
        <v>278</v>
      </c>
      <c r="AV91" s="75" t="s">
        <v>218</v>
      </c>
      <c r="AW91" s="75" t="s">
        <v>206</v>
      </c>
      <c r="AX91" s="75" t="str">
        <f t="shared" si="4"/>
        <v>MARINELLA DIAZ ACOSTA</v>
      </c>
      <c r="BA91" s="75" t="s">
        <v>194</v>
      </c>
      <c r="BB91" s="75" t="str">
        <f t="shared" ref="BB91:BB108" si="12">VLOOKUP(A91,_p8_2025,2,FALSE)</f>
        <v>CAMILO ERNESTO CALDERON GALINDO</v>
      </c>
      <c r="BE91" s="75" t="s">
        <v>196</v>
      </c>
      <c r="BF91" s="80" t="s">
        <v>541</v>
      </c>
      <c r="BG91" s="75" t="s">
        <v>254</v>
      </c>
      <c r="BH91" s="75" t="s">
        <v>255</v>
      </c>
      <c r="BK91" s="75" t="s">
        <v>233</v>
      </c>
      <c r="BP91" s="71" t="s">
        <v>336</v>
      </c>
      <c r="BQ91" s="78" t="str">
        <f t="shared" si="6"/>
        <v/>
      </c>
      <c r="BR91" s="78"/>
      <c r="BS91" s="78" t="str">
        <f t="shared" si="9"/>
        <v/>
      </c>
      <c r="BT91" s="78" t="str">
        <f>VLOOKUP(A91,[2]Hoja1!$A$2:$B$123,2,FALSE)</f>
        <v>BIL</v>
      </c>
      <c r="BU91" s="71">
        <v>18</v>
      </c>
      <c r="BV91" s="71" t="s">
        <v>535</v>
      </c>
      <c r="BW91" s="81">
        <f>VLOOKUP(A91,[2]PE04!$A$7:$A$328,1,FALSE)</f>
        <v>3070323</v>
      </c>
      <c r="BX91" s="81" t="str">
        <f>IFERROR(VLOOKUP( 5,[2]PE04!A16:G343,8,FALSE), "No encontrado")</f>
        <v>No encontrado</v>
      </c>
    </row>
    <row r="92" spans="1:76" ht="13.5" customHeight="1" x14ac:dyDescent="0.25">
      <c r="A92" s="70">
        <v>3070324</v>
      </c>
      <c r="B92" s="71" t="s">
        <v>245</v>
      </c>
      <c r="C92" s="71">
        <v>34</v>
      </c>
      <c r="D92" s="72" t="s">
        <v>271</v>
      </c>
      <c r="E92" s="73" t="s">
        <v>108</v>
      </c>
      <c r="F92" s="74">
        <f t="shared" si="7"/>
        <v>46188</v>
      </c>
      <c r="G92" s="73" t="s">
        <v>109</v>
      </c>
      <c r="H92" s="73" t="s">
        <v>334</v>
      </c>
      <c r="I92" s="71" t="s">
        <v>334</v>
      </c>
      <c r="J92" s="71" t="s">
        <v>226</v>
      </c>
      <c r="M92" s="70" t="s">
        <v>334</v>
      </c>
      <c r="N92" s="71" t="s">
        <v>337</v>
      </c>
      <c r="O92" s="71" t="s">
        <v>233</v>
      </c>
      <c r="P92" s="72" t="s">
        <v>334</v>
      </c>
      <c r="Q92" s="71" t="s">
        <v>274</v>
      </c>
      <c r="R92" s="71" t="s">
        <v>326</v>
      </c>
      <c r="U92" s="75"/>
      <c r="W92" s="75"/>
      <c r="Y92" s="75" t="s">
        <v>200</v>
      </c>
      <c r="Z92" s="71" t="s">
        <v>201</v>
      </c>
      <c r="AA92" s="71" t="s">
        <v>204</v>
      </c>
      <c r="AB92" s="71" t="s">
        <v>217</v>
      </c>
      <c r="AC92" s="75"/>
      <c r="AE92" s="71" t="s">
        <v>198</v>
      </c>
      <c r="AF92" s="71" t="s">
        <v>225</v>
      </c>
      <c r="AG92" s="71" t="s">
        <v>202</v>
      </c>
      <c r="AH92" s="76" t="s">
        <v>216</v>
      </c>
      <c r="AK92" s="71" t="s">
        <v>209</v>
      </c>
      <c r="AL92" s="75" t="s">
        <v>332</v>
      </c>
      <c r="AM92" s="71"/>
      <c r="AN92" s="71"/>
      <c r="AO92" s="71"/>
      <c r="AP92" s="71"/>
      <c r="AQ92" s="71"/>
      <c r="AS92" s="71" t="s">
        <v>208</v>
      </c>
      <c r="AT92" s="75" t="s">
        <v>239</v>
      </c>
      <c r="AV92" s="75" t="s">
        <v>218</v>
      </c>
      <c r="AW92" s="75" t="s">
        <v>206</v>
      </c>
      <c r="AX92" s="75" t="str">
        <f t="shared" si="4"/>
        <v>MARINELLA DIAZ ACOSTA</v>
      </c>
      <c r="BA92" s="75" t="s">
        <v>194</v>
      </c>
      <c r="BB92" s="75" t="str">
        <f t="shared" si="12"/>
        <v>CAMILO ERNESTO CALDERON GALINDO</v>
      </c>
      <c r="BE92" s="75" t="s">
        <v>196</v>
      </c>
      <c r="BF92" s="80" t="s">
        <v>541</v>
      </c>
      <c r="BG92" s="75" t="s">
        <v>254</v>
      </c>
      <c r="BH92" s="75" t="s">
        <v>255</v>
      </c>
      <c r="BK92" s="75" t="s">
        <v>233</v>
      </c>
      <c r="BP92" s="71" t="s">
        <v>196</v>
      </c>
      <c r="BQ92" s="78" t="str">
        <f t="shared" si="6"/>
        <v/>
      </c>
      <c r="BR92" s="78"/>
      <c r="BS92" s="78" t="str">
        <f t="shared" si="9"/>
        <v/>
      </c>
      <c r="BT92" s="78" t="str">
        <f>VLOOKUP(A92,[2]Hoja1!$A$2:$B$123,2,FALSE)</f>
        <v>BIL</v>
      </c>
      <c r="BU92" s="71">
        <v>18</v>
      </c>
      <c r="BV92" s="71" t="s">
        <v>535</v>
      </c>
      <c r="BW92" s="81">
        <f>VLOOKUP(A92,[2]PE04!$A$7:$A$328,1,FALSE)</f>
        <v>3070324</v>
      </c>
      <c r="BX92" s="81" t="str">
        <f>IFERROR(VLOOKUP( 5,[2]PE04!A17:G344,8,FALSE), "No encontrado")</f>
        <v>No encontrado</v>
      </c>
    </row>
    <row r="93" spans="1:76" ht="13.5" customHeight="1" x14ac:dyDescent="0.25">
      <c r="A93" s="70">
        <v>3070325</v>
      </c>
      <c r="B93" s="71" t="s">
        <v>245</v>
      </c>
      <c r="C93" s="71">
        <v>34</v>
      </c>
      <c r="D93" s="72" t="s">
        <v>271</v>
      </c>
      <c r="E93" s="73" t="s">
        <v>108</v>
      </c>
      <c r="F93" s="74">
        <f t="shared" si="7"/>
        <v>46188</v>
      </c>
      <c r="G93" s="73" t="s">
        <v>109</v>
      </c>
      <c r="H93" s="73" t="s">
        <v>334</v>
      </c>
      <c r="I93" s="71" t="s">
        <v>334</v>
      </c>
      <c r="J93" s="71" t="s">
        <v>226</v>
      </c>
      <c r="M93" s="70" t="s">
        <v>334</v>
      </c>
      <c r="N93" s="71" t="s">
        <v>337</v>
      </c>
      <c r="O93" s="71" t="s">
        <v>233</v>
      </c>
      <c r="P93" s="72" t="s">
        <v>334</v>
      </c>
      <c r="Q93" s="71" t="s">
        <v>274</v>
      </c>
      <c r="R93" s="71" t="s">
        <v>326</v>
      </c>
      <c r="U93" s="75"/>
      <c r="W93" s="75"/>
      <c r="Y93" s="75" t="s">
        <v>200</v>
      </c>
      <c r="Z93" s="71" t="s">
        <v>286</v>
      </c>
      <c r="AA93" s="71" t="s">
        <v>204</v>
      </c>
      <c r="AB93" s="71" t="s">
        <v>221</v>
      </c>
      <c r="AC93" s="75"/>
      <c r="AE93" s="71" t="s">
        <v>194</v>
      </c>
      <c r="AF93" s="71" t="s">
        <v>277</v>
      </c>
      <c r="AG93" s="71" t="s">
        <v>198</v>
      </c>
      <c r="AH93" s="76" t="s">
        <v>253</v>
      </c>
      <c r="AK93" s="71" t="s">
        <v>196</v>
      </c>
      <c r="AL93" s="75" t="s">
        <v>219</v>
      </c>
      <c r="AM93" s="71"/>
      <c r="AN93" s="71"/>
      <c r="AO93" s="71" t="s">
        <v>209</v>
      </c>
      <c r="AP93" s="71" t="s">
        <v>236</v>
      </c>
      <c r="AQ93" s="71"/>
      <c r="AS93" s="71" t="s">
        <v>254</v>
      </c>
      <c r="AT93" s="75" t="s">
        <v>255</v>
      </c>
      <c r="AV93" s="75" t="s">
        <v>218</v>
      </c>
      <c r="AW93" s="75" t="s">
        <v>206</v>
      </c>
      <c r="AX93" s="75" t="str">
        <f t="shared" si="4"/>
        <v>JORGE IVAN PEREZ GAITAN</v>
      </c>
      <c r="BA93" s="75" t="s">
        <v>202</v>
      </c>
      <c r="BB93" s="75" t="str">
        <f t="shared" si="12"/>
        <v>CHRISTIAN CAMILO RODRIGUEZ SALAS</v>
      </c>
      <c r="BE93" s="75" t="s">
        <v>208</v>
      </c>
      <c r="BF93" s="80" t="s">
        <v>239</v>
      </c>
      <c r="BK93" s="75" t="s">
        <v>233</v>
      </c>
      <c r="BP93" s="71" t="s">
        <v>208</v>
      </c>
      <c r="BQ93" s="78" t="str">
        <f t="shared" si="6"/>
        <v/>
      </c>
      <c r="BR93" s="78"/>
      <c r="BS93" s="78" t="str">
        <f t="shared" si="9"/>
        <v/>
      </c>
      <c r="BT93" s="78" t="str">
        <f>VLOOKUP(A93,[2]Hoja1!$A$2:$B$123,2,FALSE)</f>
        <v>BIL</v>
      </c>
      <c r="BU93" s="71">
        <v>18</v>
      </c>
      <c r="BV93" s="71" t="s">
        <v>535</v>
      </c>
      <c r="BW93" s="81">
        <f>VLOOKUP(A93,[2]PE04!$A$7:$A$328,1,FALSE)</f>
        <v>3070325</v>
      </c>
      <c r="BX93" s="81" t="str">
        <f>IFERROR(VLOOKUP( 5,[2]PE04!A18:G345,8,FALSE), "No encontrado")</f>
        <v>No encontrado</v>
      </c>
    </row>
    <row r="94" spans="1:76" ht="13.5" customHeight="1" x14ac:dyDescent="0.25">
      <c r="A94" s="70">
        <v>3070326</v>
      </c>
      <c r="B94" s="71" t="s">
        <v>245</v>
      </c>
      <c r="C94" s="71">
        <v>36</v>
      </c>
      <c r="D94" s="72" t="s">
        <v>271</v>
      </c>
      <c r="E94" s="73" t="s">
        <v>108</v>
      </c>
      <c r="F94" s="74">
        <f t="shared" si="7"/>
        <v>46188</v>
      </c>
      <c r="G94" s="73" t="s">
        <v>109</v>
      </c>
      <c r="H94" s="73" t="s">
        <v>334</v>
      </c>
      <c r="I94" s="71" t="s">
        <v>334</v>
      </c>
      <c r="J94" s="71" t="s">
        <v>226</v>
      </c>
      <c r="M94" s="70" t="s">
        <v>334</v>
      </c>
      <c r="N94" s="71" t="s">
        <v>233</v>
      </c>
      <c r="O94" s="71" t="s">
        <v>233</v>
      </c>
      <c r="P94" s="72" t="s">
        <v>564</v>
      </c>
      <c r="Q94" s="71" t="s">
        <v>274</v>
      </c>
      <c r="R94" s="71" t="s">
        <v>326</v>
      </c>
      <c r="U94" s="75"/>
      <c r="W94" s="75"/>
      <c r="Y94" s="75" t="s">
        <v>200</v>
      </c>
      <c r="Z94" s="71" t="s">
        <v>201</v>
      </c>
      <c r="AA94" s="71" t="s">
        <v>204</v>
      </c>
      <c r="AB94" s="71" t="s">
        <v>269</v>
      </c>
      <c r="AC94" s="75"/>
      <c r="AE94" s="71" t="s">
        <v>194</v>
      </c>
      <c r="AF94" s="71" t="s">
        <v>277</v>
      </c>
      <c r="AG94" s="71" t="s">
        <v>198</v>
      </c>
      <c r="AH94" s="76" t="s">
        <v>299</v>
      </c>
      <c r="AK94" s="71" t="s">
        <v>196</v>
      </c>
      <c r="AL94" s="75" t="s">
        <v>219</v>
      </c>
      <c r="AM94" s="71"/>
      <c r="AN94" s="71"/>
      <c r="AO94" s="71" t="s">
        <v>209</v>
      </c>
      <c r="AP94" s="71" t="s">
        <v>236</v>
      </c>
      <c r="AQ94" s="71"/>
      <c r="AS94" s="71" t="s">
        <v>254</v>
      </c>
      <c r="AT94" s="75" t="s">
        <v>255</v>
      </c>
      <c r="AV94" s="75" t="s">
        <v>218</v>
      </c>
      <c r="AW94" s="75" t="s">
        <v>206</v>
      </c>
      <c r="AX94" s="75" t="str">
        <f t="shared" si="4"/>
        <v>MARINELLA DIAZ ACOSTA</v>
      </c>
      <c r="BA94" s="75" t="s">
        <v>202</v>
      </c>
      <c r="BB94" s="75" t="str">
        <f t="shared" si="12"/>
        <v>CHRISTIAN CAMILO RODRIGUEZ SALAS</v>
      </c>
      <c r="BE94" s="75" t="s">
        <v>208</v>
      </c>
      <c r="BF94" s="80" t="s">
        <v>239</v>
      </c>
      <c r="BK94" s="75" t="s">
        <v>233</v>
      </c>
      <c r="BP94" s="71" t="s">
        <v>208</v>
      </c>
      <c r="BQ94" s="78" t="str">
        <f t="shared" si="6"/>
        <v/>
      </c>
      <c r="BR94" s="78"/>
      <c r="BS94" s="78" t="str">
        <f t="shared" si="9"/>
        <v/>
      </c>
      <c r="BT94" s="78" t="str">
        <f>VLOOKUP(A94,[2]Hoja1!$A$2:$B$123,2,FALSE)</f>
        <v>BIL</v>
      </c>
      <c r="BU94" s="71">
        <v>10</v>
      </c>
      <c r="BV94" s="71" t="s">
        <v>534</v>
      </c>
      <c r="BW94" s="81">
        <f>VLOOKUP(A94,[2]PE04!$A$7:$A$328,1,FALSE)</f>
        <v>3070326</v>
      </c>
      <c r="BX94" s="81" t="str">
        <f>IFERROR(VLOOKUP( 5,[2]PE04!A19:G346,8,FALSE), "No encontrado")</f>
        <v>No encontrado</v>
      </c>
    </row>
    <row r="95" spans="1:76" ht="13.5" customHeight="1" x14ac:dyDescent="0.25">
      <c r="A95" s="70">
        <v>3070334</v>
      </c>
      <c r="B95" s="71" t="s">
        <v>245</v>
      </c>
      <c r="C95" s="71">
        <v>33</v>
      </c>
      <c r="D95" s="72" t="s">
        <v>101</v>
      </c>
      <c r="E95" s="73" t="s">
        <v>108</v>
      </c>
      <c r="F95" s="74">
        <f t="shared" si="7"/>
        <v>46188</v>
      </c>
      <c r="G95" s="73" t="s">
        <v>109</v>
      </c>
      <c r="H95" s="73" t="s">
        <v>340</v>
      </c>
      <c r="I95" s="71" t="s">
        <v>340</v>
      </c>
      <c r="J95" s="71" t="s">
        <v>227</v>
      </c>
      <c r="M95" s="70" t="s">
        <v>340</v>
      </c>
      <c r="N95" s="71" t="s">
        <v>341</v>
      </c>
      <c r="O95" s="71" t="s">
        <v>231</v>
      </c>
      <c r="P95" s="72" t="s">
        <v>579</v>
      </c>
      <c r="Q95" s="71" t="s">
        <v>297</v>
      </c>
      <c r="R95" s="71" t="s">
        <v>342</v>
      </c>
      <c r="U95" s="75"/>
      <c r="W95" s="75"/>
      <c r="Y95" s="75" t="s">
        <v>196</v>
      </c>
      <c r="Z95" s="71" t="s">
        <v>312</v>
      </c>
      <c r="AA95" s="71" t="s">
        <v>200</v>
      </c>
      <c r="AB95" s="71" t="s">
        <v>220</v>
      </c>
      <c r="AC95" s="75" t="s">
        <v>242</v>
      </c>
      <c r="AD95" s="71" t="s">
        <v>243</v>
      </c>
      <c r="AE95" s="71" t="s">
        <v>198</v>
      </c>
      <c r="AF95" s="71" t="s">
        <v>199</v>
      </c>
      <c r="AG95" s="71" t="s">
        <v>254</v>
      </c>
      <c r="AH95" s="76" t="s">
        <v>255</v>
      </c>
      <c r="AK95" s="71" t="s">
        <v>208</v>
      </c>
      <c r="AL95" s="75" t="s">
        <v>278</v>
      </c>
      <c r="AM95" s="71"/>
      <c r="AN95" s="71"/>
      <c r="AO95" s="71" t="s">
        <v>204</v>
      </c>
      <c r="AP95" s="71" t="s">
        <v>217</v>
      </c>
      <c r="AQ95" s="71"/>
      <c r="AS95" s="71"/>
      <c r="AT95" s="75" t="s">
        <v>218</v>
      </c>
      <c r="AV95" s="75" t="s">
        <v>218</v>
      </c>
      <c r="AW95" s="75" t="s">
        <v>206</v>
      </c>
      <c r="AX95" s="75" t="str">
        <f t="shared" si="4"/>
        <v>JORGE IVAN PEREZ GAITAN</v>
      </c>
      <c r="BA95" s="75" t="s">
        <v>209</v>
      </c>
      <c r="BB95" s="75" t="str">
        <f t="shared" si="12"/>
        <v>ESTEFANIA SANDOVAL CRUZ</v>
      </c>
      <c r="BE95" s="75" t="s">
        <v>202</v>
      </c>
      <c r="BF95" s="80" t="s">
        <v>216</v>
      </c>
      <c r="BK95" s="75" t="s">
        <v>233</v>
      </c>
      <c r="BP95" s="71" t="s">
        <v>202</v>
      </c>
      <c r="BQ95" s="78" t="str">
        <f t="shared" si="6"/>
        <v/>
      </c>
      <c r="BR95" s="78"/>
      <c r="BS95" s="78" t="str">
        <f t="shared" si="9"/>
        <v/>
      </c>
      <c r="BT95" s="78" t="str">
        <f>VLOOKUP(A95,[2]Hoja1!$A$2:$B$123,2,FALSE)</f>
        <v>BIL</v>
      </c>
      <c r="BU95" s="71">
        <v>18</v>
      </c>
      <c r="BV95" s="71" t="s">
        <v>535</v>
      </c>
      <c r="BW95" s="81">
        <f>VLOOKUP(A95,[2]PE04!$A$7:$A$328,1,FALSE)</f>
        <v>3070334</v>
      </c>
      <c r="BX95" s="81" t="str">
        <f>IFERROR(VLOOKUP( 5,[2]PE04!A20:G347,8,FALSE), "No encontrado")</f>
        <v>No encontrado</v>
      </c>
    </row>
    <row r="96" spans="1:76" ht="13.5" customHeight="1" x14ac:dyDescent="0.25">
      <c r="A96" s="70">
        <v>3070335</v>
      </c>
      <c r="B96" s="71" t="s">
        <v>245</v>
      </c>
      <c r="C96" s="71">
        <v>35</v>
      </c>
      <c r="D96" s="72" t="s">
        <v>101</v>
      </c>
      <c r="E96" s="73" t="s">
        <v>108</v>
      </c>
      <c r="F96" s="74">
        <f t="shared" si="7"/>
        <v>46188</v>
      </c>
      <c r="G96" s="73" t="s">
        <v>109</v>
      </c>
      <c r="H96" s="73" t="s">
        <v>340</v>
      </c>
      <c r="I96" s="71" t="s">
        <v>340</v>
      </c>
      <c r="J96" s="71" t="s">
        <v>227</v>
      </c>
      <c r="M96" s="70" t="s">
        <v>340</v>
      </c>
      <c r="N96" s="71" t="s">
        <v>341</v>
      </c>
      <c r="O96" s="71" t="s">
        <v>231</v>
      </c>
      <c r="P96" s="72" t="s">
        <v>579</v>
      </c>
      <c r="Q96" s="71" t="s">
        <v>297</v>
      </c>
      <c r="R96" s="71" t="s">
        <v>342</v>
      </c>
      <c r="U96" s="75"/>
      <c r="W96" s="75"/>
      <c r="Y96" s="75" t="s">
        <v>196</v>
      </c>
      <c r="Z96" s="71" t="s">
        <v>312</v>
      </c>
      <c r="AA96" s="71" t="s">
        <v>200</v>
      </c>
      <c r="AB96" s="71" t="s">
        <v>286</v>
      </c>
      <c r="AC96" s="75" t="s">
        <v>242</v>
      </c>
      <c r="AD96" s="71" t="s">
        <v>243</v>
      </c>
      <c r="AE96" s="71" t="s">
        <v>198</v>
      </c>
      <c r="AF96" s="71" t="s">
        <v>225</v>
      </c>
      <c r="AG96" s="71" t="s">
        <v>254</v>
      </c>
      <c r="AH96" s="76" t="s">
        <v>276</v>
      </c>
      <c r="AK96" s="71" t="s">
        <v>208</v>
      </c>
      <c r="AL96" s="75" t="s">
        <v>235</v>
      </c>
      <c r="AM96" s="71"/>
      <c r="AN96" s="71"/>
      <c r="AO96" s="71" t="s">
        <v>204</v>
      </c>
      <c r="AP96" s="71" t="s">
        <v>205</v>
      </c>
      <c r="AQ96" s="71"/>
      <c r="AS96" s="71"/>
      <c r="AT96" s="75" t="s">
        <v>218</v>
      </c>
      <c r="AV96" s="75" t="s">
        <v>218</v>
      </c>
      <c r="AW96" s="75" t="s">
        <v>206</v>
      </c>
      <c r="AX96" s="75" t="str">
        <f t="shared" si="4"/>
        <v>DEISY JULIETH GARCIA CASTAÑEDA</v>
      </c>
      <c r="BA96" s="75" t="s">
        <v>209</v>
      </c>
      <c r="BB96" s="75" t="str">
        <f t="shared" si="12"/>
        <v>LUIS ARTURO BASTIDAS</v>
      </c>
      <c r="BE96" s="75" t="s">
        <v>202</v>
      </c>
      <c r="BF96" s="75" t="s">
        <v>216</v>
      </c>
      <c r="BK96" s="75" t="s">
        <v>233</v>
      </c>
      <c r="BP96" s="71" t="s">
        <v>202</v>
      </c>
      <c r="BQ96" s="78" t="str">
        <f t="shared" si="6"/>
        <v/>
      </c>
      <c r="BR96" s="78"/>
      <c r="BS96" s="78" t="str">
        <f t="shared" si="9"/>
        <v/>
      </c>
      <c r="BT96" s="78" t="str">
        <f>VLOOKUP(A96,[2]Hoja1!$A$2:$B$123,2,FALSE)</f>
        <v>BIL</v>
      </c>
      <c r="BU96" s="71">
        <v>18</v>
      </c>
      <c r="BV96" s="71" t="s">
        <v>535</v>
      </c>
      <c r="BW96" s="81">
        <f>VLOOKUP(A96,[2]PE04!$A$7:$A$328,1,FALSE)</f>
        <v>3070335</v>
      </c>
      <c r="BX96" s="81" t="str">
        <f>IFERROR(VLOOKUP( 5,[2]PE04!A21:G348,8,FALSE), "No encontrado")</f>
        <v>No encontrado</v>
      </c>
    </row>
    <row r="97" spans="1:76" ht="13.5" customHeight="1" x14ac:dyDescent="0.25">
      <c r="A97" s="70">
        <v>3070336</v>
      </c>
      <c r="B97" s="71" t="s">
        <v>245</v>
      </c>
      <c r="C97" s="71">
        <v>32</v>
      </c>
      <c r="D97" s="72" t="s">
        <v>101</v>
      </c>
      <c r="E97" s="73" t="s">
        <v>108</v>
      </c>
      <c r="F97" s="74">
        <f t="shared" si="7"/>
        <v>46188</v>
      </c>
      <c r="G97" s="73" t="s">
        <v>109</v>
      </c>
      <c r="H97" s="73" t="s">
        <v>340</v>
      </c>
      <c r="I97" s="71" t="s">
        <v>340</v>
      </c>
      <c r="J97" s="71" t="s">
        <v>227</v>
      </c>
      <c r="M97" s="70" t="s">
        <v>340</v>
      </c>
      <c r="N97" s="71" t="s">
        <v>341</v>
      </c>
      <c r="O97" s="71" t="s">
        <v>231</v>
      </c>
      <c r="P97" s="72" t="s">
        <v>579</v>
      </c>
      <c r="Q97" s="71" t="s">
        <v>297</v>
      </c>
      <c r="R97" s="71" t="s">
        <v>342</v>
      </c>
      <c r="U97" s="75"/>
      <c r="W97" s="75"/>
      <c r="Y97" s="75" t="s">
        <v>196</v>
      </c>
      <c r="Z97" s="71" t="s">
        <v>267</v>
      </c>
      <c r="AA97" s="71" t="s">
        <v>200</v>
      </c>
      <c r="AB97" s="71" t="s">
        <v>220</v>
      </c>
      <c r="AC97" s="75" t="s">
        <v>242</v>
      </c>
      <c r="AD97" s="71" t="s">
        <v>243</v>
      </c>
      <c r="AE97" s="71" t="s">
        <v>198</v>
      </c>
      <c r="AF97" s="71" t="s">
        <v>199</v>
      </c>
      <c r="AG97" s="71" t="s">
        <v>254</v>
      </c>
      <c r="AH97" s="76" t="s">
        <v>276</v>
      </c>
      <c r="AK97" s="71" t="s">
        <v>208</v>
      </c>
      <c r="AL97" s="75" t="s">
        <v>235</v>
      </c>
      <c r="AM97" s="71"/>
      <c r="AN97" s="71"/>
      <c r="AO97" s="71" t="s">
        <v>204</v>
      </c>
      <c r="AP97" s="71" t="s">
        <v>205</v>
      </c>
      <c r="AQ97" s="71"/>
      <c r="AS97" s="71"/>
      <c r="AT97" s="75" t="s">
        <v>218</v>
      </c>
      <c r="AV97" s="75" t="s">
        <v>218</v>
      </c>
      <c r="AW97" s="75" t="s">
        <v>206</v>
      </c>
      <c r="AX97" s="75" t="str">
        <f t="shared" si="4"/>
        <v>MARINELLA DIAZ ACOSTA</v>
      </c>
      <c r="BA97" s="75" t="s">
        <v>209</v>
      </c>
      <c r="BB97" s="75" t="str">
        <f t="shared" si="12"/>
        <v>ALBERTO ANTONIO TAPIA TORRES</v>
      </c>
      <c r="BE97" s="75" t="s">
        <v>202</v>
      </c>
      <c r="BF97" s="75" t="s">
        <v>216</v>
      </c>
      <c r="BK97" s="75" t="s">
        <v>233</v>
      </c>
      <c r="BP97" s="71" t="s">
        <v>202</v>
      </c>
      <c r="BQ97" s="78" t="str">
        <f t="shared" si="6"/>
        <v/>
      </c>
      <c r="BR97" s="78"/>
      <c r="BS97" s="78" t="str">
        <f t="shared" si="9"/>
        <v/>
      </c>
      <c r="BT97" s="78" t="str">
        <f>VLOOKUP(A97,[2]Hoja1!$A$2:$B$123,2,FALSE)</f>
        <v>BIL</v>
      </c>
      <c r="BU97" s="71">
        <v>18</v>
      </c>
      <c r="BV97" s="71" t="s">
        <v>535</v>
      </c>
      <c r="BW97" s="81">
        <f>VLOOKUP(A97,[2]PE04!$A$7:$A$328,1,FALSE)</f>
        <v>3070336</v>
      </c>
      <c r="BX97" s="81" t="str">
        <f>IFERROR(VLOOKUP( 5,[2]PE04!A22:G349,8,FALSE), "No encontrado")</f>
        <v>No encontrado</v>
      </c>
    </row>
    <row r="98" spans="1:76" ht="13.5" customHeight="1" x14ac:dyDescent="0.25">
      <c r="A98" s="70">
        <v>3070337</v>
      </c>
      <c r="B98" s="71" t="s">
        <v>245</v>
      </c>
      <c r="C98" s="71">
        <v>38</v>
      </c>
      <c r="D98" s="72" t="s">
        <v>101</v>
      </c>
      <c r="E98" s="73" t="s">
        <v>108</v>
      </c>
      <c r="F98" s="74">
        <f t="shared" si="7"/>
        <v>46188</v>
      </c>
      <c r="G98" s="73" t="s">
        <v>109</v>
      </c>
      <c r="H98" s="73" t="s">
        <v>340</v>
      </c>
      <c r="I98" s="71" t="s">
        <v>340</v>
      </c>
      <c r="J98" s="71" t="s">
        <v>227</v>
      </c>
      <c r="M98" s="70" t="s">
        <v>340</v>
      </c>
      <c r="N98" s="71" t="s">
        <v>341</v>
      </c>
      <c r="O98" s="71" t="s">
        <v>231</v>
      </c>
      <c r="P98" s="72" t="s">
        <v>579</v>
      </c>
      <c r="Q98" s="71" t="s">
        <v>297</v>
      </c>
      <c r="R98" s="71" t="s">
        <v>342</v>
      </c>
      <c r="U98" s="75"/>
      <c r="W98" s="75"/>
      <c r="Y98" s="75" t="s">
        <v>196</v>
      </c>
      <c r="Z98" s="71" t="s">
        <v>312</v>
      </c>
      <c r="AA98" s="71" t="s">
        <v>200</v>
      </c>
      <c r="AB98" s="71" t="s">
        <v>220</v>
      </c>
      <c r="AC98" s="75" t="s">
        <v>242</v>
      </c>
      <c r="AD98" s="71" t="s">
        <v>243</v>
      </c>
      <c r="AE98" s="71" t="s">
        <v>198</v>
      </c>
      <c r="AF98" s="71" t="s">
        <v>225</v>
      </c>
      <c r="AG98" s="71" t="s">
        <v>254</v>
      </c>
      <c r="AH98" s="76" t="s">
        <v>255</v>
      </c>
      <c r="AK98" s="71" t="s">
        <v>208</v>
      </c>
      <c r="AL98" s="75" t="s">
        <v>235</v>
      </c>
      <c r="AM98" s="71"/>
      <c r="AN98" s="71"/>
      <c r="AO98" s="71" t="s">
        <v>204</v>
      </c>
      <c r="AP98" s="71" t="s">
        <v>217</v>
      </c>
      <c r="AQ98" s="71"/>
      <c r="AS98" s="71"/>
      <c r="AT98" s="75" t="s">
        <v>218</v>
      </c>
      <c r="AV98" s="75" t="s">
        <v>218</v>
      </c>
      <c r="AW98" s="75" t="s">
        <v>206</v>
      </c>
      <c r="AX98" s="75" t="str">
        <f t="shared" si="4"/>
        <v>JORGE IVAN PEREZ GAITAN</v>
      </c>
      <c r="BA98" s="75" t="s">
        <v>209</v>
      </c>
      <c r="BB98" s="75" t="str">
        <f t="shared" si="12"/>
        <v>ALBERTO ANTONIO TAPIA TORRES</v>
      </c>
      <c r="BE98" s="75" t="s">
        <v>202</v>
      </c>
      <c r="BF98" s="75" t="s">
        <v>216</v>
      </c>
      <c r="BK98" s="75" t="s">
        <v>233</v>
      </c>
      <c r="BP98" s="71" t="s">
        <v>202</v>
      </c>
      <c r="BQ98" s="78" t="str">
        <f t="shared" si="6"/>
        <v/>
      </c>
      <c r="BR98" s="78"/>
      <c r="BS98" s="78" t="str">
        <f t="shared" si="9"/>
        <v/>
      </c>
      <c r="BT98" s="78" t="str">
        <f>VLOOKUP(A98,[2]Hoja1!$A$2:$B$123,2,FALSE)</f>
        <v>BIL</v>
      </c>
      <c r="BU98" s="71">
        <v>18</v>
      </c>
      <c r="BV98" s="71" t="s">
        <v>535</v>
      </c>
      <c r="BW98" s="81">
        <f>VLOOKUP(A98,[2]PE04!$A$7:$A$328,1,FALSE)</f>
        <v>3070337</v>
      </c>
      <c r="BX98" s="81" t="str">
        <f>IFERROR(VLOOKUP( 5,[2]PE04!A23:G350,8,FALSE), "No encontrado")</f>
        <v>No encontrado</v>
      </c>
    </row>
    <row r="99" spans="1:76" ht="13.5" customHeight="1" x14ac:dyDescent="0.25">
      <c r="A99" s="70">
        <v>3070338</v>
      </c>
      <c r="B99" s="71" t="s">
        <v>245</v>
      </c>
      <c r="C99" s="71">
        <v>34</v>
      </c>
      <c r="D99" s="72" t="s">
        <v>101</v>
      </c>
      <c r="E99" s="73" t="s">
        <v>108</v>
      </c>
      <c r="F99" s="74">
        <f t="shared" si="7"/>
        <v>46188</v>
      </c>
      <c r="G99" s="73" t="s">
        <v>109</v>
      </c>
      <c r="H99" s="73" t="s">
        <v>345</v>
      </c>
      <c r="I99" s="71" t="s">
        <v>345</v>
      </c>
      <c r="J99" s="71" t="s">
        <v>227</v>
      </c>
      <c r="M99" s="70" t="s">
        <v>346</v>
      </c>
      <c r="N99" s="71" t="s">
        <v>341</v>
      </c>
      <c r="O99" s="71" t="s">
        <v>231</v>
      </c>
      <c r="P99" s="72" t="s">
        <v>296</v>
      </c>
      <c r="Q99" s="71" t="s">
        <v>297</v>
      </c>
      <c r="R99" s="71" t="s">
        <v>342</v>
      </c>
      <c r="U99" s="75"/>
      <c r="W99" s="75"/>
      <c r="Y99" s="75" t="s">
        <v>196</v>
      </c>
      <c r="Z99" s="71" t="s">
        <v>267</v>
      </c>
      <c r="AA99" s="71" t="s">
        <v>200</v>
      </c>
      <c r="AB99" s="71" t="s">
        <v>286</v>
      </c>
      <c r="AC99" s="75" t="s">
        <v>242</v>
      </c>
      <c r="AD99" s="71" t="s">
        <v>243</v>
      </c>
      <c r="AE99" s="71" t="s">
        <v>198</v>
      </c>
      <c r="AF99" s="71" t="s">
        <v>199</v>
      </c>
      <c r="AG99" s="71" t="s">
        <v>254</v>
      </c>
      <c r="AH99" s="76" t="s">
        <v>255</v>
      </c>
      <c r="AK99" s="71" t="s">
        <v>208</v>
      </c>
      <c r="AL99" s="75" t="s">
        <v>239</v>
      </c>
      <c r="AM99" s="71"/>
      <c r="AN99" s="71"/>
      <c r="AO99" s="71" t="s">
        <v>209</v>
      </c>
      <c r="AP99" s="71" t="s">
        <v>236</v>
      </c>
      <c r="AQ99" s="71"/>
      <c r="AS99" s="71"/>
      <c r="AT99" s="75" t="s">
        <v>218</v>
      </c>
      <c r="AV99" s="75" t="s">
        <v>218</v>
      </c>
      <c r="AW99" s="75" t="s">
        <v>204</v>
      </c>
      <c r="AX99" s="75" t="str">
        <f t="shared" ref="AX99:AX117" si="13">IFERROR(VLOOKUP(A99,_p7_2025,2,FALSE),"")</f>
        <v>NELSON ALFREDO VARGAS MORA</v>
      </c>
      <c r="BA99" s="75" t="s">
        <v>206</v>
      </c>
      <c r="BB99" s="75" t="str">
        <f t="shared" si="12"/>
        <v>JORGE IVAN PEREZ GAITAN</v>
      </c>
      <c r="BE99" s="75" t="s">
        <v>202</v>
      </c>
      <c r="BF99" s="75" t="s">
        <v>216</v>
      </c>
      <c r="BK99" s="75" t="s">
        <v>233</v>
      </c>
      <c r="BP99" s="71" t="s">
        <v>202</v>
      </c>
      <c r="BQ99" s="78" t="str">
        <f t="shared" si="6"/>
        <v/>
      </c>
      <c r="BR99" s="78"/>
      <c r="BS99" s="78" t="str">
        <f t="shared" si="9"/>
        <v/>
      </c>
      <c r="BT99" s="78" t="str">
        <f>VLOOKUP(A99,[2]Hoja1!$A$2:$B$123,2,FALSE)</f>
        <v>BIL</v>
      </c>
      <c r="BU99" s="71">
        <v>18</v>
      </c>
      <c r="BV99" s="71" t="s">
        <v>535</v>
      </c>
      <c r="BW99" s="81">
        <f>VLOOKUP(A99,[2]PE04!$A$7:$A$328,1,FALSE)</f>
        <v>3070338</v>
      </c>
      <c r="BX99" s="81" t="str">
        <f>IFERROR(VLOOKUP( 5,[2]PE04!A24:G351,8,FALSE), "No encontrado")</f>
        <v>No encontrado</v>
      </c>
    </row>
    <row r="100" spans="1:76" ht="13.5" customHeight="1" x14ac:dyDescent="0.25">
      <c r="A100" s="70">
        <v>3070339</v>
      </c>
      <c r="B100" s="71" t="s">
        <v>245</v>
      </c>
      <c r="C100" s="71">
        <v>34</v>
      </c>
      <c r="D100" s="72" t="s">
        <v>101</v>
      </c>
      <c r="E100" s="73" t="s">
        <v>108</v>
      </c>
      <c r="F100" s="74">
        <f t="shared" si="7"/>
        <v>46188</v>
      </c>
      <c r="G100" s="73" t="s">
        <v>109</v>
      </c>
      <c r="H100" s="73" t="s">
        <v>345</v>
      </c>
      <c r="I100" s="71" t="s">
        <v>345</v>
      </c>
      <c r="J100" s="71" t="s">
        <v>227</v>
      </c>
      <c r="M100" s="70" t="s">
        <v>347</v>
      </c>
      <c r="N100" s="71" t="s">
        <v>348</v>
      </c>
      <c r="O100" s="71" t="s">
        <v>238</v>
      </c>
      <c r="P100" s="72" t="s">
        <v>302</v>
      </c>
      <c r="Q100" s="71" t="s">
        <v>297</v>
      </c>
      <c r="R100" s="71" t="s">
        <v>342</v>
      </c>
      <c r="U100" s="75"/>
      <c r="W100" s="75"/>
      <c r="Y100" s="75" t="s">
        <v>196</v>
      </c>
      <c r="Z100" s="71" t="s">
        <v>312</v>
      </c>
      <c r="AA100" s="71" t="s">
        <v>200</v>
      </c>
      <c r="AB100" s="71" t="s">
        <v>220</v>
      </c>
      <c r="AC100" s="75" t="s">
        <v>242</v>
      </c>
      <c r="AD100" s="71" t="s">
        <v>243</v>
      </c>
      <c r="AE100" s="71" t="s">
        <v>204</v>
      </c>
      <c r="AF100" s="71" t="s">
        <v>221</v>
      </c>
      <c r="AG100" s="71" t="s">
        <v>198</v>
      </c>
      <c r="AH100" s="76" t="s">
        <v>299</v>
      </c>
      <c r="AK100" s="71" t="s">
        <v>202</v>
      </c>
      <c r="AL100" s="75" t="s">
        <v>216</v>
      </c>
      <c r="AM100" s="71"/>
      <c r="AN100" s="71"/>
      <c r="AO100" s="71" t="s">
        <v>208</v>
      </c>
      <c r="AP100" s="71" t="s">
        <v>278</v>
      </c>
      <c r="AQ100" s="71"/>
      <c r="AS100" s="71" t="s">
        <v>209</v>
      </c>
      <c r="AT100" s="75" t="s">
        <v>226</v>
      </c>
      <c r="AV100" s="75" t="s">
        <v>218</v>
      </c>
      <c r="AX100" s="75" t="str">
        <f t="shared" si="13"/>
        <v/>
      </c>
      <c r="BA100" s="75" t="s">
        <v>254</v>
      </c>
      <c r="BB100" s="75" t="str">
        <f t="shared" si="12"/>
        <v>CINDY YOHANA BOHORQUEZ GARZON</v>
      </c>
      <c r="BE100" s="75" t="s">
        <v>206</v>
      </c>
      <c r="BF100" s="75" t="s">
        <v>227</v>
      </c>
      <c r="BK100" s="75" t="s">
        <v>233</v>
      </c>
      <c r="BP100" s="71" t="s">
        <v>206</v>
      </c>
      <c r="BQ100" s="78" t="str">
        <f t="shared" si="6"/>
        <v/>
      </c>
      <c r="BR100" s="78"/>
      <c r="BS100" s="78" t="str">
        <f t="shared" si="9"/>
        <v/>
      </c>
      <c r="BT100" s="78" t="str">
        <f>VLOOKUP(A100,[2]Hoja1!$A$2:$B$123,2,FALSE)</f>
        <v>BIL</v>
      </c>
      <c r="BU100" s="71">
        <v>12</v>
      </c>
      <c r="BV100" s="71" t="s">
        <v>534</v>
      </c>
      <c r="BW100" s="81">
        <f>VLOOKUP(A100,[2]PE04!$A$7:$A$328,1,FALSE)</f>
        <v>3070339</v>
      </c>
      <c r="BX100" s="81" t="str">
        <f>IFERROR(VLOOKUP( 5,[2]PE04!A25:G352,8,FALSE), "No encontrado")</f>
        <v>No encontrado</v>
      </c>
    </row>
    <row r="101" spans="1:76" ht="13.5" customHeight="1" x14ac:dyDescent="0.25">
      <c r="A101" s="70">
        <v>3070340</v>
      </c>
      <c r="B101" s="71" t="s">
        <v>245</v>
      </c>
      <c r="C101" s="71">
        <v>33</v>
      </c>
      <c r="D101" s="72" t="s">
        <v>101</v>
      </c>
      <c r="E101" s="73" t="s">
        <v>108</v>
      </c>
      <c r="F101" s="74">
        <f t="shared" si="7"/>
        <v>46188</v>
      </c>
      <c r="G101" s="73" t="s">
        <v>109</v>
      </c>
      <c r="H101" s="73" t="s">
        <v>345</v>
      </c>
      <c r="I101" s="71" t="s">
        <v>345</v>
      </c>
      <c r="J101" s="71" t="s">
        <v>227</v>
      </c>
      <c r="M101" s="70" t="s">
        <v>347</v>
      </c>
      <c r="N101" s="71" t="s">
        <v>348</v>
      </c>
      <c r="O101" s="71" t="s">
        <v>238</v>
      </c>
      <c r="P101" s="72" t="s">
        <v>302</v>
      </c>
      <c r="Q101" s="71" t="s">
        <v>297</v>
      </c>
      <c r="R101" s="71" t="s">
        <v>342</v>
      </c>
      <c r="U101" s="75"/>
      <c r="W101" s="75"/>
      <c r="Y101" s="75" t="s">
        <v>196</v>
      </c>
      <c r="Z101" s="71" t="s">
        <v>267</v>
      </c>
      <c r="AA101" s="71" t="s">
        <v>200</v>
      </c>
      <c r="AB101" s="71" t="s">
        <v>220</v>
      </c>
      <c r="AC101" s="75" t="s">
        <v>242</v>
      </c>
      <c r="AD101" s="71" t="s">
        <v>243</v>
      </c>
      <c r="AE101" s="71" t="s">
        <v>204</v>
      </c>
      <c r="AF101" s="71" t="s">
        <v>221</v>
      </c>
      <c r="AG101" s="71" t="s">
        <v>198</v>
      </c>
      <c r="AH101" s="76" t="s">
        <v>299</v>
      </c>
      <c r="AK101" s="71" t="s">
        <v>202</v>
      </c>
      <c r="AL101" s="75" t="s">
        <v>216</v>
      </c>
      <c r="AM101" s="71"/>
      <c r="AN101" s="71"/>
      <c r="AO101" s="71" t="s">
        <v>208</v>
      </c>
      <c r="AP101" s="71" t="s">
        <v>239</v>
      </c>
      <c r="AQ101" s="71"/>
      <c r="AS101" s="71" t="s">
        <v>209</v>
      </c>
      <c r="AT101" s="75" t="s">
        <v>228</v>
      </c>
      <c r="AV101" s="75" t="s">
        <v>218</v>
      </c>
      <c r="AX101" s="75" t="str">
        <f t="shared" si="13"/>
        <v/>
      </c>
      <c r="BA101" s="75" t="s">
        <v>254</v>
      </c>
      <c r="BB101" s="75" t="str">
        <f t="shared" si="12"/>
        <v>CINDY YOHANA BOHORQUEZ GARZON</v>
      </c>
      <c r="BE101" s="75" t="s">
        <v>206</v>
      </c>
      <c r="BF101" s="75" t="s">
        <v>227</v>
      </c>
      <c r="BK101" s="75" t="s">
        <v>233</v>
      </c>
      <c r="BP101" s="71" t="s">
        <v>206</v>
      </c>
      <c r="BQ101" s="78" t="str">
        <f t="shared" si="6"/>
        <v/>
      </c>
      <c r="BR101" s="78"/>
      <c r="BS101" s="78" t="str">
        <f t="shared" si="9"/>
        <v/>
      </c>
      <c r="BT101" s="78" t="str">
        <f>VLOOKUP(A101,[2]Hoja1!$A$2:$B$123,2,FALSE)</f>
        <v>BIL</v>
      </c>
      <c r="BU101" s="71">
        <v>10</v>
      </c>
      <c r="BV101" s="71" t="s">
        <v>534</v>
      </c>
      <c r="BW101" s="81">
        <f>VLOOKUP(A101,[2]PE04!$A$7:$A$328,1,FALSE)</f>
        <v>3070340</v>
      </c>
      <c r="BX101" s="81" t="str">
        <f>IFERROR(VLOOKUP( 5,[2]PE04!A26:G353,8,FALSE), "No encontrado")</f>
        <v>No encontrado</v>
      </c>
    </row>
    <row r="102" spans="1:76" ht="13.5" customHeight="1" x14ac:dyDescent="0.25">
      <c r="A102" s="70">
        <v>3070341</v>
      </c>
      <c r="B102" s="71" t="s">
        <v>245</v>
      </c>
      <c r="C102" s="71">
        <v>38</v>
      </c>
      <c r="D102" s="72" t="s">
        <v>101</v>
      </c>
      <c r="E102" s="73" t="s">
        <v>108</v>
      </c>
      <c r="F102" s="74">
        <f t="shared" si="7"/>
        <v>46188</v>
      </c>
      <c r="G102" s="73" t="s">
        <v>109</v>
      </c>
      <c r="H102" s="73" t="s">
        <v>345</v>
      </c>
      <c r="I102" s="71" t="s">
        <v>345</v>
      </c>
      <c r="J102" s="71" t="s">
        <v>227</v>
      </c>
      <c r="M102" s="70" t="s">
        <v>347</v>
      </c>
      <c r="N102" s="71" t="s">
        <v>348</v>
      </c>
      <c r="O102" s="71" t="s">
        <v>238</v>
      </c>
      <c r="P102" s="72" t="s">
        <v>302</v>
      </c>
      <c r="Q102" s="71" t="s">
        <v>297</v>
      </c>
      <c r="R102" s="71" t="s">
        <v>342</v>
      </c>
      <c r="U102" s="75"/>
      <c r="W102" s="75"/>
      <c r="Y102" s="75" t="s">
        <v>196</v>
      </c>
      <c r="Z102" s="71" t="s">
        <v>312</v>
      </c>
      <c r="AA102" s="71" t="s">
        <v>200</v>
      </c>
      <c r="AB102" s="71" t="s">
        <v>201</v>
      </c>
      <c r="AC102" s="75" t="s">
        <v>242</v>
      </c>
      <c r="AD102" s="71" t="s">
        <v>243</v>
      </c>
      <c r="AE102" s="71" t="s">
        <v>254</v>
      </c>
      <c r="AF102" s="71" t="s">
        <v>255</v>
      </c>
      <c r="AG102" s="71" t="s">
        <v>204</v>
      </c>
      <c r="AH102" s="76" t="s">
        <v>217</v>
      </c>
      <c r="AK102" s="71" t="s">
        <v>209</v>
      </c>
      <c r="AL102" s="75" t="s">
        <v>332</v>
      </c>
      <c r="AM102" s="71"/>
      <c r="AN102" s="71"/>
      <c r="AO102" s="71"/>
      <c r="AP102" s="71"/>
      <c r="AQ102" s="71"/>
      <c r="AS102" s="71" t="s">
        <v>198</v>
      </c>
      <c r="AT102" s="75" t="s">
        <v>199</v>
      </c>
      <c r="AV102" s="75" t="s">
        <v>218</v>
      </c>
      <c r="AW102" s="75" t="s">
        <v>208</v>
      </c>
      <c r="AX102" s="75" t="str">
        <f t="shared" si="13"/>
        <v>LAURA STHEPHANIA SANCHEZ PABON</v>
      </c>
      <c r="BA102" s="75" t="s">
        <v>206</v>
      </c>
      <c r="BB102" s="75" t="str">
        <f t="shared" si="12"/>
        <v>JORGE IVAN PEREZ GAITAN</v>
      </c>
      <c r="BE102" s="75" t="s">
        <v>202</v>
      </c>
      <c r="BF102" s="80" t="s">
        <v>216</v>
      </c>
      <c r="BK102" s="75" t="s">
        <v>233</v>
      </c>
      <c r="BP102" s="71" t="s">
        <v>202</v>
      </c>
      <c r="BQ102" s="78" t="str">
        <f t="shared" si="6"/>
        <v/>
      </c>
      <c r="BR102" s="78"/>
      <c r="BS102" s="78" t="str">
        <f t="shared" si="9"/>
        <v/>
      </c>
      <c r="BT102" s="78" t="str">
        <f>VLOOKUP(A102,[2]Hoja1!$A$2:$B$123,2,FALSE)</f>
        <v>BIL</v>
      </c>
      <c r="BU102" s="71">
        <v>10</v>
      </c>
      <c r="BV102" s="71" t="s">
        <v>534</v>
      </c>
      <c r="BW102" s="81">
        <f>VLOOKUP(A102,[2]PE04!$A$7:$A$328,1,FALSE)</f>
        <v>3070341</v>
      </c>
      <c r="BX102" s="81" t="str">
        <f>IFERROR(VLOOKUP( 5,[2]PE04!A27:G354,8,FALSE), "No encontrado")</f>
        <v>No encontrado</v>
      </c>
    </row>
    <row r="103" spans="1:76" ht="13.5" customHeight="1" x14ac:dyDescent="0.25">
      <c r="A103" s="70">
        <v>3070342</v>
      </c>
      <c r="B103" s="71" t="s">
        <v>245</v>
      </c>
      <c r="C103" s="71">
        <v>36</v>
      </c>
      <c r="D103" s="72" t="s">
        <v>101</v>
      </c>
      <c r="E103" s="73" t="s">
        <v>108</v>
      </c>
      <c r="F103" s="74">
        <f t="shared" si="7"/>
        <v>46188</v>
      </c>
      <c r="G103" s="73" t="s">
        <v>109</v>
      </c>
      <c r="H103" s="73" t="s">
        <v>346</v>
      </c>
      <c r="I103" s="71" t="s">
        <v>346</v>
      </c>
      <c r="J103" s="71" t="s">
        <v>227</v>
      </c>
      <c r="M103" s="70" t="s">
        <v>346</v>
      </c>
      <c r="N103" s="71" t="s">
        <v>348</v>
      </c>
      <c r="O103" s="71" t="s">
        <v>238</v>
      </c>
      <c r="P103" s="72" t="s">
        <v>296</v>
      </c>
      <c r="Q103" s="71" t="s">
        <v>297</v>
      </c>
      <c r="R103" s="71" t="s">
        <v>342</v>
      </c>
      <c r="U103" s="75"/>
      <c r="W103" s="75"/>
      <c r="Y103" s="75" t="s">
        <v>196</v>
      </c>
      <c r="Z103" s="71" t="s">
        <v>267</v>
      </c>
      <c r="AA103" s="71" t="s">
        <v>200</v>
      </c>
      <c r="AB103" s="71" t="s">
        <v>201</v>
      </c>
      <c r="AC103" s="75"/>
      <c r="AE103" s="71" t="s">
        <v>254</v>
      </c>
      <c r="AF103" s="71" t="s">
        <v>255</v>
      </c>
      <c r="AG103" s="71" t="s">
        <v>198</v>
      </c>
      <c r="AH103" s="76" t="s">
        <v>199</v>
      </c>
      <c r="AK103" s="71" t="s">
        <v>209</v>
      </c>
      <c r="AL103" s="75" t="s">
        <v>236</v>
      </c>
      <c r="AM103" s="71"/>
      <c r="AN103" s="71"/>
      <c r="AO103" s="71" t="s">
        <v>242</v>
      </c>
      <c r="AP103" s="71" t="s">
        <v>243</v>
      </c>
      <c r="AQ103" s="71"/>
      <c r="AS103" s="71"/>
      <c r="AT103" s="75" t="s">
        <v>218</v>
      </c>
      <c r="AV103" s="75" t="s">
        <v>218</v>
      </c>
      <c r="AW103" s="75" t="s">
        <v>208</v>
      </c>
      <c r="AX103" s="75" t="str">
        <f t="shared" si="13"/>
        <v>HECTOR ANDRES CIPAMOCHA CENTENO</v>
      </c>
      <c r="BA103" s="75" t="s">
        <v>204</v>
      </c>
      <c r="BB103" s="75" t="str">
        <f t="shared" si="12"/>
        <v>IVAN DARIO RODRIGUEZ BUSTAMANTE</v>
      </c>
      <c r="BE103" s="75" t="s">
        <v>206</v>
      </c>
      <c r="BF103" s="75" t="s">
        <v>213</v>
      </c>
      <c r="BI103" s="75" t="s">
        <v>202</v>
      </c>
      <c r="BJ103" s="75" t="s">
        <v>203</v>
      </c>
      <c r="BK103" s="75" t="s">
        <v>233</v>
      </c>
      <c r="BP103" s="71" t="s">
        <v>202</v>
      </c>
      <c r="BQ103" s="78" t="str">
        <f t="shared" si="6"/>
        <v>CUL</v>
      </c>
      <c r="BR103" s="78" t="str">
        <f t="shared" ref="BR103:BR166" si="14">TRIM(SUBSTITUTE(SUBSTITUTE(SUBSTITUTE(SUBSTITUTE(SUBSTITUTE(SUBSTITUTE(SUBSTITUTE(SUBSTITUTE(SUBSTITUTE(SUBSTITUTE(SUBSTITUTE(SUBSTITUTE(SUBSTITUTE(SUBSTITUTE(SUBSTITUTE(SUBSTITUTE(SUBSTITUTE(Q103, Y103, ""), AA103, ""), AC103, ""), AE103, ""), AG103, ""), AK103, ""), AO103, ""), AQ103, ""), AS103, ""), AU103, ""), AW103, ""), AY103, ""), BA103, ""), BC103, ""), BE103, ""), BG103, ""),BI103, ""))</f>
        <v/>
      </c>
      <c r="BS103" s="78" t="str">
        <f t="shared" si="9"/>
        <v/>
      </c>
      <c r="BT103" s="78" t="str">
        <f>VLOOKUP(A103,[2]Hoja1!$A$2:$B$123,2,FALSE)</f>
        <v>BIL</v>
      </c>
      <c r="BU103" s="71">
        <v>25</v>
      </c>
      <c r="BV103" s="71" t="s">
        <v>534</v>
      </c>
      <c r="BW103" s="81">
        <f>VLOOKUP(A103,[2]PE04!$A$7:$A$328,1,FALSE)</f>
        <v>3070342</v>
      </c>
      <c r="BX103" s="81" t="str">
        <f>IFERROR(VLOOKUP( 5,[2]PE04!A28:G355,8,FALSE), "No encontrado")</f>
        <v>No encontrado</v>
      </c>
    </row>
    <row r="104" spans="1:76" ht="13.5" customHeight="1" x14ac:dyDescent="0.25">
      <c r="A104" s="70">
        <v>3070343</v>
      </c>
      <c r="B104" s="71" t="s">
        <v>245</v>
      </c>
      <c r="C104" s="71">
        <v>40</v>
      </c>
      <c r="D104" s="72" t="s">
        <v>101</v>
      </c>
      <c r="E104" s="73" t="s">
        <v>108</v>
      </c>
      <c r="F104" s="74">
        <f t="shared" si="7"/>
        <v>46188</v>
      </c>
      <c r="G104" s="73" t="s">
        <v>109</v>
      </c>
      <c r="H104" s="73" t="s">
        <v>346</v>
      </c>
      <c r="I104" s="71" t="s">
        <v>346</v>
      </c>
      <c r="J104" s="71" t="s">
        <v>227</v>
      </c>
      <c r="M104" s="70" t="s">
        <v>346</v>
      </c>
      <c r="N104" s="71" t="s">
        <v>348</v>
      </c>
      <c r="O104" s="71" t="s">
        <v>238</v>
      </c>
      <c r="P104" s="72" t="s">
        <v>296</v>
      </c>
      <c r="Q104" s="71" t="s">
        <v>297</v>
      </c>
      <c r="R104" s="71" t="s">
        <v>342</v>
      </c>
      <c r="U104" s="75"/>
      <c r="W104" s="75"/>
      <c r="Y104" s="75" t="s">
        <v>196</v>
      </c>
      <c r="Z104" s="71" t="s">
        <v>312</v>
      </c>
      <c r="AA104" s="71" t="s">
        <v>200</v>
      </c>
      <c r="AB104" s="71" t="s">
        <v>201</v>
      </c>
      <c r="AC104" s="75"/>
      <c r="AE104" s="71" t="s">
        <v>206</v>
      </c>
      <c r="AF104" s="71" t="s">
        <v>227</v>
      </c>
      <c r="AG104" s="71" t="s">
        <v>198</v>
      </c>
      <c r="AH104" s="76" t="s">
        <v>299</v>
      </c>
      <c r="AK104" s="71"/>
      <c r="AL104" s="75" t="s">
        <v>218</v>
      </c>
      <c r="AM104" s="71"/>
      <c r="AN104" s="71"/>
      <c r="AO104" s="71" t="s">
        <v>204</v>
      </c>
      <c r="AP104" s="71" t="s">
        <v>221</v>
      </c>
      <c r="AQ104" s="71"/>
      <c r="AS104" s="71" t="s">
        <v>242</v>
      </c>
      <c r="AT104" s="75" t="s">
        <v>243</v>
      </c>
      <c r="AV104" s="75" t="s">
        <v>218</v>
      </c>
      <c r="AW104" s="75" t="s">
        <v>254</v>
      </c>
      <c r="AX104" s="75" t="str">
        <f t="shared" si="13"/>
        <v>CINDY YOHANA BOHORQUEZ GARZON</v>
      </c>
      <c r="BA104" s="75" t="s">
        <v>208</v>
      </c>
      <c r="BB104" s="75" t="str">
        <f t="shared" si="12"/>
        <v>MARIA CAROLINA GOMEZ CALLE</v>
      </c>
      <c r="BE104" s="75" t="s">
        <v>209</v>
      </c>
      <c r="BF104" s="75" t="s">
        <v>226</v>
      </c>
      <c r="BI104" s="75" t="s">
        <v>202</v>
      </c>
      <c r="BJ104" s="75" t="s">
        <v>203</v>
      </c>
      <c r="BK104" s="75" t="s">
        <v>233</v>
      </c>
      <c r="BP104" s="71" t="s">
        <v>202</v>
      </c>
      <c r="BQ104" s="78" t="str">
        <f t="shared" si="6"/>
        <v>CUL</v>
      </c>
      <c r="BR104" s="78" t="str">
        <f t="shared" si="14"/>
        <v/>
      </c>
      <c r="BS104" s="78" t="str">
        <f t="shared" si="9"/>
        <v/>
      </c>
      <c r="BT104" s="78" t="str">
        <f>VLOOKUP(A104,[2]Hoja1!$A$2:$B$123,2,FALSE)</f>
        <v>BIL</v>
      </c>
      <c r="BU104" s="71">
        <v>14</v>
      </c>
      <c r="BV104" s="71" t="s">
        <v>534</v>
      </c>
      <c r="BW104" s="81">
        <f>VLOOKUP(A104,[2]PE04!$A$7:$A$328,1,FALSE)</f>
        <v>3070343</v>
      </c>
      <c r="BX104" s="81" t="str">
        <f>IFERROR(VLOOKUP( 5,[2]PE04!A29:G356,8,FALSE), "No encontrado")</f>
        <v>No encontrado</v>
      </c>
    </row>
    <row r="105" spans="1:76" ht="13.5" customHeight="1" x14ac:dyDescent="0.25">
      <c r="A105" s="70">
        <v>3070344</v>
      </c>
      <c r="B105" s="71" t="s">
        <v>245</v>
      </c>
      <c r="C105" s="71">
        <v>41</v>
      </c>
      <c r="D105" s="72" t="s">
        <v>101</v>
      </c>
      <c r="E105" s="73" t="s">
        <v>108</v>
      </c>
      <c r="F105" s="74">
        <f t="shared" si="7"/>
        <v>46188</v>
      </c>
      <c r="G105" s="73" t="s">
        <v>109</v>
      </c>
      <c r="H105" s="73" t="s">
        <v>346</v>
      </c>
      <c r="I105" s="71" t="s">
        <v>346</v>
      </c>
      <c r="J105" s="71" t="s">
        <v>227</v>
      </c>
      <c r="M105" s="70" t="s">
        <v>346</v>
      </c>
      <c r="N105" s="71" t="s">
        <v>348</v>
      </c>
      <c r="O105" s="71" t="s">
        <v>238</v>
      </c>
      <c r="P105" s="72" t="s">
        <v>403</v>
      </c>
      <c r="Q105" s="71" t="s">
        <v>297</v>
      </c>
      <c r="R105" s="71" t="s">
        <v>342</v>
      </c>
      <c r="U105" s="75"/>
      <c r="W105" s="75"/>
      <c r="Y105" s="75" t="s">
        <v>196</v>
      </c>
      <c r="Z105" s="71" t="s">
        <v>267</v>
      </c>
      <c r="AA105" s="71" t="s">
        <v>198</v>
      </c>
      <c r="AB105" s="71" t="s">
        <v>225</v>
      </c>
      <c r="AC105" s="75"/>
      <c r="AE105" s="71" t="s">
        <v>200</v>
      </c>
      <c r="AF105" s="71" t="s">
        <v>220</v>
      </c>
      <c r="AG105" s="71" t="s">
        <v>254</v>
      </c>
      <c r="AH105" s="76" t="s">
        <v>255</v>
      </c>
      <c r="AK105" s="71" t="s">
        <v>209</v>
      </c>
      <c r="AL105" s="75" t="s">
        <v>228</v>
      </c>
      <c r="AM105" s="71"/>
      <c r="AN105" s="71"/>
      <c r="AO105" s="71" t="s">
        <v>242</v>
      </c>
      <c r="AP105" s="71" t="s">
        <v>243</v>
      </c>
      <c r="AQ105" s="71"/>
      <c r="AS105" s="71"/>
      <c r="AT105" s="75" t="s">
        <v>218</v>
      </c>
      <c r="AV105" s="75" t="s">
        <v>218</v>
      </c>
      <c r="AW105" s="75" t="s">
        <v>208</v>
      </c>
      <c r="AX105" s="75" t="str">
        <f t="shared" si="13"/>
        <v>MARIA CAROLINA GOMEZ CALLE</v>
      </c>
      <c r="BA105" s="75" t="s">
        <v>204</v>
      </c>
      <c r="BB105" s="75" t="str">
        <f t="shared" si="12"/>
        <v>NELSON ALFREDO VARGAS MORA</v>
      </c>
      <c r="BE105" s="75" t="s">
        <v>206</v>
      </c>
      <c r="BF105" s="75" t="s">
        <v>213</v>
      </c>
      <c r="BI105" s="75" t="s">
        <v>202</v>
      </c>
      <c r="BJ105" s="75" t="s">
        <v>203</v>
      </c>
      <c r="BK105" s="75" t="s">
        <v>233</v>
      </c>
      <c r="BP105" s="71" t="s">
        <v>350</v>
      </c>
      <c r="BQ105" s="78" t="str">
        <f t="shared" si="6"/>
        <v>CUL</v>
      </c>
      <c r="BR105" s="78" t="str">
        <f t="shared" si="14"/>
        <v/>
      </c>
      <c r="BS105" s="78" t="str">
        <f t="shared" si="9"/>
        <v/>
      </c>
      <c r="BT105" s="78" t="str">
        <f>VLOOKUP(A105,[2]Hoja1!$A$2:$B$123,2,FALSE)</f>
        <v>BIL</v>
      </c>
      <c r="BU105" s="71">
        <v>11</v>
      </c>
      <c r="BV105" s="71" t="s">
        <v>534</v>
      </c>
      <c r="BW105" s="81">
        <f>VLOOKUP(A105,[2]PE04!$A$7:$A$328,1,FALSE)</f>
        <v>3070344</v>
      </c>
      <c r="BX105" s="81" t="str">
        <f>IFERROR(VLOOKUP( 5,[2]PE04!A30:G357,8,FALSE), "No encontrado")</f>
        <v>No encontrado</v>
      </c>
    </row>
    <row r="106" spans="1:76" ht="13.5" customHeight="1" x14ac:dyDescent="0.25">
      <c r="A106" s="70">
        <v>3070345</v>
      </c>
      <c r="B106" s="71" t="s">
        <v>245</v>
      </c>
      <c r="C106" s="71">
        <v>41</v>
      </c>
      <c r="D106" s="72" t="s">
        <v>101</v>
      </c>
      <c r="E106" s="73" t="s">
        <v>108</v>
      </c>
      <c r="F106" s="74">
        <f t="shared" si="7"/>
        <v>46188</v>
      </c>
      <c r="G106" s="73" t="s">
        <v>109</v>
      </c>
      <c r="H106" s="73" t="s">
        <v>346</v>
      </c>
      <c r="I106" s="71" t="s">
        <v>346</v>
      </c>
      <c r="J106" s="71" t="s">
        <v>227</v>
      </c>
      <c r="M106" s="70" t="s">
        <v>346</v>
      </c>
      <c r="N106" s="71" t="s">
        <v>348</v>
      </c>
      <c r="O106" s="71" t="s">
        <v>238</v>
      </c>
      <c r="P106" s="72" t="s">
        <v>403</v>
      </c>
      <c r="Q106" s="71" t="s">
        <v>297</v>
      </c>
      <c r="R106" s="71" t="s">
        <v>342</v>
      </c>
      <c r="U106" s="75"/>
      <c r="W106" s="75"/>
      <c r="Y106" s="75" t="s">
        <v>196</v>
      </c>
      <c r="Z106" s="71" t="s">
        <v>267</v>
      </c>
      <c r="AA106" s="71" t="s">
        <v>198</v>
      </c>
      <c r="AB106" s="71" t="s">
        <v>199</v>
      </c>
      <c r="AC106" s="75"/>
      <c r="AE106" s="71" t="s">
        <v>208</v>
      </c>
      <c r="AF106" s="71" t="s">
        <v>239</v>
      </c>
      <c r="AG106" s="71" t="s">
        <v>209</v>
      </c>
      <c r="AH106" s="76" t="s">
        <v>226</v>
      </c>
      <c r="AK106" s="71"/>
      <c r="AL106" s="75" t="s">
        <v>218</v>
      </c>
      <c r="AM106" s="71"/>
      <c r="AN106" s="71"/>
      <c r="AO106" s="71" t="s">
        <v>204</v>
      </c>
      <c r="AP106" s="71" t="s">
        <v>205</v>
      </c>
      <c r="AQ106" s="71"/>
      <c r="AS106" s="71"/>
      <c r="AT106" s="75" t="s">
        <v>218</v>
      </c>
      <c r="AV106" s="75" t="s">
        <v>218</v>
      </c>
      <c r="AW106" s="75" t="s">
        <v>242</v>
      </c>
      <c r="AX106" s="75" t="str">
        <f t="shared" si="13"/>
        <v>LAURA SOFIA PAEZ GALLO</v>
      </c>
      <c r="BA106" s="75" t="s">
        <v>200</v>
      </c>
      <c r="BB106" s="75" t="str">
        <f t="shared" si="12"/>
        <v>ELKIN DURAN MANCIPE</v>
      </c>
      <c r="BE106" s="75" t="s">
        <v>202</v>
      </c>
      <c r="BF106" s="75" t="s">
        <v>203</v>
      </c>
      <c r="BI106" s="75" t="s">
        <v>206</v>
      </c>
      <c r="BJ106" s="75" t="s">
        <v>207</v>
      </c>
      <c r="BK106" s="75" t="s">
        <v>233</v>
      </c>
      <c r="BL106" s="75" t="s">
        <v>254</v>
      </c>
      <c r="BM106" s="75" t="s">
        <v>255</v>
      </c>
      <c r="BP106" s="71" t="s">
        <v>542</v>
      </c>
      <c r="BQ106" s="78" t="str">
        <f t="shared" si="6"/>
        <v>INV SST</v>
      </c>
      <c r="BR106" s="78" t="str">
        <f t="shared" si="14"/>
        <v>INV</v>
      </c>
      <c r="BS106" s="78" t="str">
        <f t="shared" si="9"/>
        <v>INV</v>
      </c>
      <c r="BT106" s="78" t="str">
        <f>VLOOKUP(A106,[2]Hoja1!$A$2:$B$123,2,FALSE)</f>
        <v>BIL</v>
      </c>
      <c r="BU106" s="71">
        <v>15</v>
      </c>
      <c r="BV106" s="71" t="s">
        <v>534</v>
      </c>
      <c r="BW106" s="81">
        <f>VLOOKUP(A106,[2]PE04!$A$7:$A$328,1,FALSE)</f>
        <v>3070345</v>
      </c>
      <c r="BX106" s="81" t="str">
        <f>IFERROR(VLOOKUP( 5,[2]PE04!A31:G358,8,FALSE), "No encontrado")</f>
        <v>No encontrado</v>
      </c>
    </row>
    <row r="107" spans="1:76" ht="13.5" customHeight="1" x14ac:dyDescent="0.25">
      <c r="A107" s="70">
        <v>3070348</v>
      </c>
      <c r="B107" s="71" t="s">
        <v>245</v>
      </c>
      <c r="C107" s="71">
        <v>35</v>
      </c>
      <c r="D107" s="72" t="s">
        <v>99</v>
      </c>
      <c r="E107" s="73" t="s">
        <v>108</v>
      </c>
      <c r="F107" s="74">
        <f t="shared" si="7"/>
        <v>46188</v>
      </c>
      <c r="G107" s="73" t="s">
        <v>109</v>
      </c>
      <c r="H107" s="73" t="s">
        <v>260</v>
      </c>
      <c r="I107" s="71" t="s">
        <v>352</v>
      </c>
      <c r="J107" s="71" t="s">
        <v>261</v>
      </c>
      <c r="L107" s="71" t="s">
        <v>260</v>
      </c>
      <c r="M107" s="70" t="s">
        <v>268</v>
      </c>
      <c r="N107" s="71" t="s">
        <v>348</v>
      </c>
      <c r="O107" s="71" t="s">
        <v>238</v>
      </c>
      <c r="P107" s="72" t="s">
        <v>268</v>
      </c>
      <c r="Q107" s="71" t="s">
        <v>263</v>
      </c>
      <c r="R107" s="71" t="s">
        <v>353</v>
      </c>
      <c r="U107" s="75"/>
      <c r="W107" s="75"/>
      <c r="Y107" s="75" t="s">
        <v>200</v>
      </c>
      <c r="Z107" s="71" t="s">
        <v>220</v>
      </c>
      <c r="AA107" s="71" t="s">
        <v>198</v>
      </c>
      <c r="AB107" s="71" t="s">
        <v>199</v>
      </c>
      <c r="AC107" s="75"/>
      <c r="AE107" s="71" t="s">
        <v>196</v>
      </c>
      <c r="AF107" s="71" t="s">
        <v>219</v>
      </c>
      <c r="AG107" s="71" t="s">
        <v>204</v>
      </c>
      <c r="AH107" s="76" t="s">
        <v>205</v>
      </c>
      <c r="AK107" s="71" t="s">
        <v>209</v>
      </c>
      <c r="AL107" s="75" t="s">
        <v>236</v>
      </c>
      <c r="AM107" s="71"/>
      <c r="AN107" s="71"/>
      <c r="AO107" s="71" t="s">
        <v>206</v>
      </c>
      <c r="AP107" s="71" t="s">
        <v>213</v>
      </c>
      <c r="AQ107" s="71"/>
      <c r="AS107" s="71" t="s">
        <v>208</v>
      </c>
      <c r="AT107" s="75" t="s">
        <v>278</v>
      </c>
      <c r="AV107" s="75" t="s">
        <v>218</v>
      </c>
      <c r="AX107" s="75" t="str">
        <f t="shared" si="13"/>
        <v/>
      </c>
      <c r="BA107" s="75" t="s">
        <v>194</v>
      </c>
      <c r="BB107" s="75" t="str">
        <f t="shared" si="12"/>
        <v>CAMILO ERNESTO CALDERON GALINDO</v>
      </c>
      <c r="BE107" s="75" t="s">
        <v>254</v>
      </c>
      <c r="BF107" s="75" t="s">
        <v>255</v>
      </c>
      <c r="BI107" s="75" t="s">
        <v>202</v>
      </c>
      <c r="BJ107" s="75" t="s">
        <v>203</v>
      </c>
      <c r="BK107" s="75" t="s">
        <v>233</v>
      </c>
      <c r="BP107" s="71" t="s">
        <v>543</v>
      </c>
      <c r="BQ107" s="78" t="str">
        <f t="shared" si="6"/>
        <v>CUL</v>
      </c>
      <c r="BR107" s="78" t="str">
        <f t="shared" si="14"/>
        <v/>
      </c>
      <c r="BS107" s="78" t="str">
        <f t="shared" si="9"/>
        <v/>
      </c>
      <c r="BT107" s="78" t="str">
        <f>VLOOKUP(A107,[2]Hoja1!$A$2:$B$123,2,FALSE)</f>
        <v>BIL</v>
      </c>
      <c r="BU107" s="71">
        <v>8</v>
      </c>
      <c r="BV107" s="71" t="s">
        <v>534</v>
      </c>
      <c r="BW107" s="81">
        <f>VLOOKUP(A107,[2]PE04!$A$7:$A$328,1,FALSE)</f>
        <v>3070348</v>
      </c>
      <c r="BX107" s="81" t="str">
        <f>IFERROR(VLOOKUP( 5,[2]PE04!A32:G359,8,FALSE), "No encontrado")</f>
        <v>No encontrado</v>
      </c>
    </row>
    <row r="108" spans="1:76" ht="13.5" customHeight="1" x14ac:dyDescent="0.25">
      <c r="A108" s="70">
        <v>3070350</v>
      </c>
      <c r="B108" s="71" t="s">
        <v>245</v>
      </c>
      <c r="C108" s="71">
        <v>35</v>
      </c>
      <c r="D108" s="72" t="s">
        <v>99</v>
      </c>
      <c r="E108" s="73" t="s">
        <v>108</v>
      </c>
      <c r="F108" s="74">
        <f t="shared" si="7"/>
        <v>46188</v>
      </c>
      <c r="G108" s="73" t="s">
        <v>109</v>
      </c>
      <c r="H108" s="73" t="s">
        <v>260</v>
      </c>
      <c r="I108" s="71" t="s">
        <v>352</v>
      </c>
      <c r="J108" s="71" t="s">
        <v>261</v>
      </c>
      <c r="L108" s="71" t="s">
        <v>260</v>
      </c>
      <c r="M108" s="70" t="s">
        <v>268</v>
      </c>
      <c r="N108" s="71" t="s">
        <v>348</v>
      </c>
      <c r="O108" s="71" t="s">
        <v>238</v>
      </c>
      <c r="P108" s="72" t="s">
        <v>268</v>
      </c>
      <c r="Q108" s="71" t="s">
        <v>263</v>
      </c>
      <c r="R108" s="71" t="s">
        <v>353</v>
      </c>
      <c r="U108" s="75"/>
      <c r="W108" s="75"/>
      <c r="Y108" s="75" t="s">
        <v>200</v>
      </c>
      <c r="Z108" s="71" t="s">
        <v>286</v>
      </c>
      <c r="AA108" s="71" t="s">
        <v>198</v>
      </c>
      <c r="AB108" s="71" t="s">
        <v>225</v>
      </c>
      <c r="AC108" s="75"/>
      <c r="AE108" s="71" t="s">
        <v>196</v>
      </c>
      <c r="AF108" s="71" t="s">
        <v>267</v>
      </c>
      <c r="AG108" s="71" t="s">
        <v>204</v>
      </c>
      <c r="AH108" s="76" t="s">
        <v>217</v>
      </c>
      <c r="AK108" s="71" t="s">
        <v>209</v>
      </c>
      <c r="AL108" s="75" t="s">
        <v>226</v>
      </c>
      <c r="AM108" s="71"/>
      <c r="AN108" s="71"/>
      <c r="AO108" s="71" t="s">
        <v>206</v>
      </c>
      <c r="AP108" s="71" t="s">
        <v>227</v>
      </c>
      <c r="AQ108" s="71"/>
      <c r="AS108" s="71" t="s">
        <v>208</v>
      </c>
      <c r="AT108" s="75" t="s">
        <v>239</v>
      </c>
      <c r="AV108" s="75" t="s">
        <v>218</v>
      </c>
      <c r="AX108" s="75" t="str">
        <f t="shared" si="13"/>
        <v/>
      </c>
      <c r="BA108" s="75" t="s">
        <v>194</v>
      </c>
      <c r="BB108" s="75" t="str">
        <f t="shared" si="12"/>
        <v>CAMILO ERNESTO CALDERON GALINDO</v>
      </c>
      <c r="BE108" s="75" t="s">
        <v>254</v>
      </c>
      <c r="BF108" s="75" t="s">
        <v>255</v>
      </c>
      <c r="BI108" s="75" t="s">
        <v>202</v>
      </c>
      <c r="BJ108" s="75" t="s">
        <v>203</v>
      </c>
      <c r="BK108" s="75" t="s">
        <v>233</v>
      </c>
      <c r="BP108" s="71" t="s">
        <v>336</v>
      </c>
      <c r="BQ108" s="78" t="str">
        <f t="shared" si="6"/>
        <v>CUL</v>
      </c>
      <c r="BR108" s="78" t="str">
        <f t="shared" si="14"/>
        <v/>
      </c>
      <c r="BS108" s="78" t="str">
        <f t="shared" si="9"/>
        <v/>
      </c>
      <c r="BT108" s="78" t="str">
        <f>VLOOKUP(A108,[2]Hoja1!$A$2:$B$123,2,FALSE)</f>
        <v>BIL</v>
      </c>
      <c r="BU108" s="71">
        <v>25</v>
      </c>
      <c r="BV108" s="71" t="s">
        <v>534</v>
      </c>
      <c r="BW108" s="81">
        <f>VLOOKUP(A108,[2]PE04!$A$7:$A$328,1,FALSE)</f>
        <v>3070350</v>
      </c>
      <c r="BX108" s="81" t="str">
        <f>IFERROR(VLOOKUP( 5,[2]PE04!A33:G360,8,FALSE), "No encontrado")</f>
        <v>No encontrado</v>
      </c>
    </row>
    <row r="109" spans="1:76" ht="13.5" customHeight="1" x14ac:dyDescent="0.25">
      <c r="A109" s="70">
        <v>3070351</v>
      </c>
      <c r="B109" s="71" t="s">
        <v>245</v>
      </c>
      <c r="C109" s="71">
        <v>23</v>
      </c>
      <c r="D109" s="72" t="s">
        <v>99</v>
      </c>
      <c r="E109" s="73" t="s">
        <v>108</v>
      </c>
      <c r="F109" s="74">
        <f t="shared" si="7"/>
        <v>46188</v>
      </c>
      <c r="G109" s="73" t="s">
        <v>109</v>
      </c>
      <c r="H109" s="73" t="s">
        <v>260</v>
      </c>
      <c r="I109" s="71" t="s">
        <v>352</v>
      </c>
      <c r="J109" s="71" t="s">
        <v>261</v>
      </c>
      <c r="L109" s="71" t="s">
        <v>260</v>
      </c>
      <c r="M109" s="70" t="s">
        <v>268</v>
      </c>
      <c r="N109" s="71" t="s">
        <v>348</v>
      </c>
      <c r="O109" s="71" t="s">
        <v>238</v>
      </c>
      <c r="P109" s="72" t="s">
        <v>268</v>
      </c>
      <c r="Q109" s="71" t="s">
        <v>263</v>
      </c>
      <c r="R109" s="71" t="s">
        <v>353</v>
      </c>
      <c r="U109" s="75"/>
      <c r="W109" s="75"/>
      <c r="Y109" s="75" t="s">
        <v>198</v>
      </c>
      <c r="Z109" s="71" t="s">
        <v>199</v>
      </c>
      <c r="AA109" s="71" t="s">
        <v>200</v>
      </c>
      <c r="AB109" s="71" t="s">
        <v>286</v>
      </c>
      <c r="AC109" s="75"/>
      <c r="AE109" s="71" t="s">
        <v>196</v>
      </c>
      <c r="AF109" s="71" t="s">
        <v>219</v>
      </c>
      <c r="AG109" s="71" t="s">
        <v>209</v>
      </c>
      <c r="AH109" s="76" t="s">
        <v>236</v>
      </c>
      <c r="AK109" s="71" t="s">
        <v>206</v>
      </c>
      <c r="AL109" s="75" t="s">
        <v>227</v>
      </c>
      <c r="AM109" s="71"/>
      <c r="AN109" s="71"/>
      <c r="AO109" s="71" t="s">
        <v>204</v>
      </c>
      <c r="AP109" s="71" t="s">
        <v>205</v>
      </c>
      <c r="AQ109" s="71"/>
      <c r="AS109" s="71" t="s">
        <v>208</v>
      </c>
      <c r="AT109" s="75" t="s">
        <v>235</v>
      </c>
      <c r="AV109" s="75" t="s">
        <v>218</v>
      </c>
      <c r="AX109" s="75" t="str">
        <f t="shared" si="13"/>
        <v/>
      </c>
      <c r="BI109" s="75" t="s">
        <v>254</v>
      </c>
      <c r="BJ109" s="75" t="s">
        <v>544</v>
      </c>
      <c r="BK109" s="75" t="s">
        <v>233</v>
      </c>
      <c r="BL109" s="75" t="s">
        <v>194</v>
      </c>
      <c r="BM109" s="75" t="s">
        <v>545</v>
      </c>
      <c r="BP109" s="71" t="s">
        <v>546</v>
      </c>
      <c r="BQ109" s="78" t="str">
        <f t="shared" si="6"/>
        <v>INV FIS CUL</v>
      </c>
      <c r="BR109" s="78" t="str">
        <f t="shared" si="14"/>
        <v>FIS CUL</v>
      </c>
      <c r="BS109" s="78" t="str">
        <f>TRIM(SUBSTITUTE(SUBSTITUTE(SUBSTITUTE(SUBSTITUTE(SUBSTITUTE(SUBSTITUTE(SUBSTITUTE(SUBSTITUTE(SUBSTITUTE(SUBSTITUTE(SUBSTITUTE(SUBSTITUTE(SUBSTITUTE(SUBSTITUTE(SUBSTITUTE(SUBSTITUTE(SUBSTITUTE(SUBSTITUTE(SUBSTITUTE(Q109,Y109,""),AA109,""),AC109,""),AE109,""),AG109,""),AK109,""),AO109,""),AQ109,""),AS109,""),AU109,""),AW109,""),AY109,""),BA109,""),BC109,""),BE109,""),BG109,""),BI109,""),BL109,""),BN109,""))</f>
        <v>CUL</v>
      </c>
      <c r="BT109" s="78" t="str">
        <f>VLOOKUP(A109,[2]Hoja1!$A$2:$B$123,2,FALSE)</f>
        <v>BIL</v>
      </c>
      <c r="BU109" s="71">
        <v>12</v>
      </c>
      <c r="BV109" s="71" t="s">
        <v>534</v>
      </c>
      <c r="BW109" s="81">
        <f>VLOOKUP(A109,[2]PE04!$A$7:$A$328,1,FALSE)</f>
        <v>3070351</v>
      </c>
      <c r="BX109" s="81" t="str">
        <f>IFERROR(VLOOKUP( 5,[2]PE04!A34:G361,8,FALSE), "No encontrado")</f>
        <v>No encontrado</v>
      </c>
    </row>
    <row r="110" spans="1:76" ht="13.5" customHeight="1" x14ac:dyDescent="0.25">
      <c r="A110" s="70">
        <v>3070358</v>
      </c>
      <c r="B110" s="71" t="s">
        <v>245</v>
      </c>
      <c r="C110" s="71">
        <v>28</v>
      </c>
      <c r="D110" s="72" t="s">
        <v>100</v>
      </c>
      <c r="E110" s="73" t="s">
        <v>108</v>
      </c>
      <c r="F110" s="74">
        <f t="shared" si="7"/>
        <v>46188</v>
      </c>
      <c r="G110" s="73" t="s">
        <v>109</v>
      </c>
      <c r="H110" s="73" t="s">
        <v>356</v>
      </c>
      <c r="I110" s="71" t="s">
        <v>356</v>
      </c>
      <c r="J110" s="71" t="s">
        <v>261</v>
      </c>
      <c r="M110" s="70" t="s">
        <v>356</v>
      </c>
      <c r="N110" s="71" t="s">
        <v>357</v>
      </c>
      <c r="O110" s="71" t="s">
        <v>238</v>
      </c>
      <c r="P110" s="72" t="s">
        <v>292</v>
      </c>
      <c r="Q110" s="71" t="s">
        <v>293</v>
      </c>
      <c r="R110" s="71" t="s">
        <v>358</v>
      </c>
      <c r="U110" s="75"/>
      <c r="W110" s="75"/>
      <c r="Y110" s="75" t="s">
        <v>204</v>
      </c>
      <c r="Z110" s="71" t="s">
        <v>217</v>
      </c>
      <c r="AA110" s="71" t="s">
        <v>198</v>
      </c>
      <c r="AB110" s="71" t="s">
        <v>199</v>
      </c>
      <c r="AC110" s="75"/>
      <c r="AE110" s="71" t="s">
        <v>206</v>
      </c>
      <c r="AF110" s="71" t="s">
        <v>227</v>
      </c>
      <c r="AH110" s="76"/>
      <c r="AK110" s="71" t="s">
        <v>209</v>
      </c>
      <c r="AL110" s="75" t="s">
        <v>228</v>
      </c>
      <c r="AM110" s="71"/>
      <c r="AN110" s="71"/>
      <c r="AO110" s="71"/>
      <c r="AP110" s="71"/>
      <c r="AQ110" s="71"/>
      <c r="AS110" s="71" t="s">
        <v>196</v>
      </c>
      <c r="AT110" s="75" t="s">
        <v>244</v>
      </c>
      <c r="AV110" s="75" t="s">
        <v>218</v>
      </c>
      <c r="AW110" s="75" t="s">
        <v>254</v>
      </c>
      <c r="AX110" s="75" t="str">
        <f t="shared" si="13"/>
        <v>CINDY YOHANA BOHORQUEZ GARZON</v>
      </c>
      <c r="BA110" s="75" t="s">
        <v>200</v>
      </c>
      <c r="BB110" s="75" t="str">
        <f t="shared" ref="BB110:BB123" si="15">VLOOKUP(A110,_p8_2025,2,FALSE)</f>
        <v>JULIANA HERNANDEZ BARRERA</v>
      </c>
      <c r="BE110" s="75" t="s">
        <v>202</v>
      </c>
      <c r="BF110" s="75" t="s">
        <v>203</v>
      </c>
      <c r="BI110" s="75" t="s">
        <v>242</v>
      </c>
      <c r="BJ110" s="75" t="s">
        <v>243</v>
      </c>
      <c r="BK110" s="75" t="s">
        <v>233</v>
      </c>
      <c r="BL110" s="75" t="s">
        <v>208</v>
      </c>
      <c r="BM110" s="75" t="s">
        <v>547</v>
      </c>
      <c r="BP110" s="71" t="s">
        <v>548</v>
      </c>
      <c r="BQ110" s="78" t="str">
        <f t="shared" si="6"/>
        <v>CIE DER</v>
      </c>
      <c r="BR110" s="78" t="str">
        <f t="shared" si="14"/>
        <v>DER</v>
      </c>
      <c r="BS110" s="78" t="str">
        <f t="shared" ref="BS110:BS173" si="16">TRIM(SUBSTITUTE(SUBSTITUTE(SUBSTITUTE(SUBSTITUTE(SUBSTITUTE(SUBSTITUTE(SUBSTITUTE(SUBSTITUTE(SUBSTITUTE(SUBSTITUTE(SUBSTITUTE(SUBSTITUTE(SUBSTITUTE(SUBSTITUTE(SUBSTITUTE(SUBSTITUTE(SUBSTITUTE(SUBSTITUTE(SUBSTITUTE(Q110,Y110,""),AA110,""),AC110,""),AE110,""),AG110,""),AK110,""),AO110,""),AQ110,""),AS110,""),AU110,""),AW110,""),AY110,""),BA110,""),BC110,""),BE110,""),BG110,""),BI110,""),BL110,""),BN110,""))</f>
        <v/>
      </c>
      <c r="BT110" s="78" t="str">
        <f>VLOOKUP(A110,[2]Hoja1!$A$2:$B$123,2,FALSE)</f>
        <v>BIL</v>
      </c>
      <c r="BU110" s="71">
        <v>16</v>
      </c>
      <c r="BV110" s="71" t="s">
        <v>534</v>
      </c>
      <c r="BW110" s="81">
        <f>VLOOKUP(A110,[2]PE04!$A$7:$A$328,1,FALSE)</f>
        <v>3070358</v>
      </c>
      <c r="BX110" s="81" t="str">
        <f>IFERROR(VLOOKUP( 5,[2]PE04!A35:G362,8,FALSE), "No encontrado")</f>
        <v>No encontrado</v>
      </c>
    </row>
    <row r="111" spans="1:76" ht="13.5" customHeight="1" x14ac:dyDescent="0.25">
      <c r="A111" s="70">
        <v>3070360</v>
      </c>
      <c r="B111" s="71" t="s">
        <v>245</v>
      </c>
      <c r="C111" s="71">
        <v>32</v>
      </c>
      <c r="D111" s="72" t="s">
        <v>100</v>
      </c>
      <c r="E111" s="73" t="s">
        <v>108</v>
      </c>
      <c r="F111" s="74">
        <f t="shared" si="7"/>
        <v>46188</v>
      </c>
      <c r="G111" s="73" t="s">
        <v>109</v>
      </c>
      <c r="H111" s="73" t="s">
        <v>356</v>
      </c>
      <c r="I111" s="71" t="s">
        <v>356</v>
      </c>
      <c r="J111" s="71" t="s">
        <v>261</v>
      </c>
      <c r="M111" s="70" t="s">
        <v>356</v>
      </c>
      <c r="N111" s="71" t="s">
        <v>357</v>
      </c>
      <c r="O111" s="71" t="s">
        <v>238</v>
      </c>
      <c r="P111" s="72" t="s">
        <v>356</v>
      </c>
      <c r="Q111" s="71" t="s">
        <v>293</v>
      </c>
      <c r="R111" s="71" t="s">
        <v>358</v>
      </c>
      <c r="U111" s="75"/>
      <c r="W111" s="75"/>
      <c r="Y111" s="75" t="s">
        <v>204</v>
      </c>
      <c r="Z111" s="71" t="s">
        <v>221</v>
      </c>
      <c r="AA111" s="71" t="s">
        <v>198</v>
      </c>
      <c r="AB111" s="71" t="s">
        <v>225</v>
      </c>
      <c r="AC111" s="75"/>
      <c r="AE111" s="71" t="s">
        <v>206</v>
      </c>
      <c r="AF111" s="71" t="s">
        <v>227</v>
      </c>
      <c r="AH111" s="76"/>
      <c r="AK111" s="71" t="s">
        <v>209</v>
      </c>
      <c r="AL111" s="75" t="s">
        <v>332</v>
      </c>
      <c r="AM111" s="71"/>
      <c r="AN111" s="71"/>
      <c r="AO111" s="71"/>
      <c r="AP111" s="71"/>
      <c r="AQ111" s="71"/>
      <c r="AS111" s="71" t="s">
        <v>196</v>
      </c>
      <c r="AT111" s="75" t="s">
        <v>244</v>
      </c>
      <c r="AV111" s="75" t="s">
        <v>218</v>
      </c>
      <c r="AW111" s="75" t="s">
        <v>254</v>
      </c>
      <c r="AX111" s="75" t="str">
        <f t="shared" si="13"/>
        <v>CINDY YOHANA BOHORQUEZ GARZON</v>
      </c>
      <c r="BA111" s="75" t="s">
        <v>200</v>
      </c>
      <c r="BB111" s="75" t="str">
        <f t="shared" si="15"/>
        <v>ELKIN DURAN MANCIPE</v>
      </c>
      <c r="BE111" s="75" t="s">
        <v>242</v>
      </c>
      <c r="BF111" s="75" t="s">
        <v>243</v>
      </c>
      <c r="BI111" s="75" t="s">
        <v>202</v>
      </c>
      <c r="BJ111" s="75" t="s">
        <v>216</v>
      </c>
      <c r="BK111" s="75" t="s">
        <v>233</v>
      </c>
      <c r="BL111" s="75" t="s">
        <v>208</v>
      </c>
      <c r="BM111" s="75" t="s">
        <v>547</v>
      </c>
      <c r="BP111" s="71" t="s">
        <v>548</v>
      </c>
      <c r="BQ111" s="78" t="str">
        <f t="shared" si="6"/>
        <v>CUL DER</v>
      </c>
      <c r="BR111" s="78" t="str">
        <f t="shared" si="14"/>
        <v>DER</v>
      </c>
      <c r="BS111" s="78" t="str">
        <f t="shared" si="16"/>
        <v/>
      </c>
      <c r="BT111" s="78" t="str">
        <f>VLOOKUP(A111,[2]Hoja1!$A$2:$B$123,2,FALSE)</f>
        <v>BIL</v>
      </c>
      <c r="BU111" s="71">
        <v>21</v>
      </c>
      <c r="BV111" s="71" t="s">
        <v>534</v>
      </c>
      <c r="BW111" s="81">
        <f>VLOOKUP(A111,[2]PE04!$A$7:$A$328,1,FALSE)</f>
        <v>3070360</v>
      </c>
      <c r="BX111" s="81" t="str">
        <f>IFERROR(VLOOKUP( 5,[2]PE04!A36:G363,8,FALSE), "No encontrado")</f>
        <v>No encontrado</v>
      </c>
    </row>
    <row r="112" spans="1:76" ht="13.5" customHeight="1" x14ac:dyDescent="0.25">
      <c r="A112" s="70">
        <v>3070361</v>
      </c>
      <c r="B112" s="71" t="s">
        <v>245</v>
      </c>
      <c r="C112" s="71">
        <v>36</v>
      </c>
      <c r="D112" s="72" t="s">
        <v>100</v>
      </c>
      <c r="E112" s="73" t="s">
        <v>108</v>
      </c>
      <c r="F112" s="74">
        <f t="shared" si="7"/>
        <v>46188</v>
      </c>
      <c r="G112" s="73" t="s">
        <v>109</v>
      </c>
      <c r="H112" s="73" t="s">
        <v>356</v>
      </c>
      <c r="I112" s="71" t="s">
        <v>356</v>
      </c>
      <c r="J112" s="71" t="s">
        <v>261</v>
      </c>
      <c r="M112" s="70" t="s">
        <v>356</v>
      </c>
      <c r="N112" s="71" t="s">
        <v>357</v>
      </c>
      <c r="O112" s="71" t="s">
        <v>238</v>
      </c>
      <c r="P112" s="72" t="s">
        <v>356</v>
      </c>
      <c r="Q112" s="71" t="s">
        <v>293</v>
      </c>
      <c r="R112" s="71" t="s">
        <v>358</v>
      </c>
      <c r="U112" s="75"/>
      <c r="W112" s="75"/>
      <c r="Y112" s="75" t="s">
        <v>204</v>
      </c>
      <c r="Z112" s="71" t="s">
        <v>269</v>
      </c>
      <c r="AA112" s="71" t="s">
        <v>198</v>
      </c>
      <c r="AB112" s="71" t="s">
        <v>199</v>
      </c>
      <c r="AC112" s="75"/>
      <c r="AE112" s="71" t="s">
        <v>206</v>
      </c>
      <c r="AF112" s="71" t="s">
        <v>213</v>
      </c>
      <c r="AH112" s="76"/>
      <c r="AK112" s="71" t="s">
        <v>209</v>
      </c>
      <c r="AL112" s="75" t="s">
        <v>226</v>
      </c>
      <c r="AM112" s="71"/>
      <c r="AN112" s="71"/>
      <c r="AO112" s="71"/>
      <c r="AP112" s="71"/>
      <c r="AQ112" s="71"/>
      <c r="AS112" s="71" t="s">
        <v>196</v>
      </c>
      <c r="AT112" s="75" t="s">
        <v>267</v>
      </c>
      <c r="AV112" s="75" t="s">
        <v>218</v>
      </c>
      <c r="AW112" s="75" t="s">
        <v>254</v>
      </c>
      <c r="AX112" s="75" t="str">
        <f t="shared" si="13"/>
        <v>CINDY YOHANA BOHORQUEZ GARZON</v>
      </c>
      <c r="BA112" s="75" t="s">
        <v>200</v>
      </c>
      <c r="BB112" s="75" t="str">
        <f t="shared" si="15"/>
        <v>JULIANA HERNANDEZ BARRERA</v>
      </c>
      <c r="BE112" s="75" t="s">
        <v>242</v>
      </c>
      <c r="BF112" s="75" t="s">
        <v>243</v>
      </c>
      <c r="BI112" s="75" t="s">
        <v>202</v>
      </c>
      <c r="BJ112" s="75" t="s">
        <v>216</v>
      </c>
      <c r="BK112" s="75" t="s">
        <v>233</v>
      </c>
      <c r="BL112" s="75" t="s">
        <v>208</v>
      </c>
      <c r="BM112" s="75" t="s">
        <v>547</v>
      </c>
      <c r="BP112" s="71" t="s">
        <v>548</v>
      </c>
      <c r="BQ112" s="78" t="str">
        <f t="shared" si="6"/>
        <v>CUL DER</v>
      </c>
      <c r="BR112" s="78" t="str">
        <f t="shared" si="14"/>
        <v>DER</v>
      </c>
      <c r="BS112" s="78" t="str">
        <f t="shared" si="16"/>
        <v/>
      </c>
      <c r="BT112" s="78" t="str">
        <f>VLOOKUP(A112,[2]Hoja1!$A$2:$B$123,2,FALSE)</f>
        <v>BIL</v>
      </c>
      <c r="BU112" s="71">
        <v>14</v>
      </c>
      <c r="BV112" s="71" t="s">
        <v>534</v>
      </c>
      <c r="BW112" s="81">
        <f>VLOOKUP(A112,[2]PE04!$A$7:$A$328,1,FALSE)</f>
        <v>3070361</v>
      </c>
      <c r="BX112" s="81" t="str">
        <f>IFERROR(VLOOKUP( 5,[2]PE04!A37:G364,8,FALSE), "No encontrado")</f>
        <v>No encontrado</v>
      </c>
    </row>
    <row r="113" spans="1:76" ht="13.5" customHeight="1" x14ac:dyDescent="0.25">
      <c r="A113" s="70">
        <v>3070362</v>
      </c>
      <c r="B113" s="71" t="s">
        <v>245</v>
      </c>
      <c r="C113" s="71">
        <v>32</v>
      </c>
      <c r="D113" s="72" t="s">
        <v>100</v>
      </c>
      <c r="E113" s="73" t="s">
        <v>108</v>
      </c>
      <c r="F113" s="74">
        <f t="shared" si="7"/>
        <v>46188</v>
      </c>
      <c r="G113" s="73" t="s">
        <v>109</v>
      </c>
      <c r="H113" s="73" t="s">
        <v>356</v>
      </c>
      <c r="I113" s="71" t="s">
        <v>356</v>
      </c>
      <c r="J113" s="71" t="s">
        <v>261</v>
      </c>
      <c r="M113" s="70" t="s">
        <v>356</v>
      </c>
      <c r="N113" s="71" t="s">
        <v>357</v>
      </c>
      <c r="O113" s="71" t="s">
        <v>238</v>
      </c>
      <c r="P113" s="72" t="s">
        <v>356</v>
      </c>
      <c r="Q113" s="71" t="s">
        <v>293</v>
      </c>
      <c r="R113" s="71" t="s">
        <v>358</v>
      </c>
      <c r="U113" s="75"/>
      <c r="W113" s="75"/>
      <c r="Y113" s="75" t="s">
        <v>204</v>
      </c>
      <c r="Z113" s="71" t="s">
        <v>221</v>
      </c>
      <c r="AA113" s="71" t="s">
        <v>198</v>
      </c>
      <c r="AB113" s="71" t="s">
        <v>225</v>
      </c>
      <c r="AC113" s="75"/>
      <c r="AE113" s="71" t="s">
        <v>206</v>
      </c>
      <c r="AF113" s="71" t="s">
        <v>213</v>
      </c>
      <c r="AH113" s="76"/>
      <c r="AK113" s="71" t="s">
        <v>209</v>
      </c>
      <c r="AL113" s="75" t="s">
        <v>226</v>
      </c>
      <c r="AM113" s="71"/>
      <c r="AN113" s="71"/>
      <c r="AO113" s="71"/>
      <c r="AP113" s="71"/>
      <c r="AQ113" s="71"/>
      <c r="AS113" s="71" t="s">
        <v>196</v>
      </c>
      <c r="AT113" s="75" t="s">
        <v>267</v>
      </c>
      <c r="AV113" s="75" t="s">
        <v>218</v>
      </c>
      <c r="AW113" s="75" t="s">
        <v>254</v>
      </c>
      <c r="AX113" s="75" t="str">
        <f t="shared" si="13"/>
        <v>CINDY YOHANA BOHORQUEZ GARZON</v>
      </c>
      <c r="BA113" s="75" t="s">
        <v>200</v>
      </c>
      <c r="BB113" s="75" t="str">
        <f t="shared" si="15"/>
        <v>WILDER JULIAN ARIAS HERNANDEZ</v>
      </c>
      <c r="BE113" s="75" t="s">
        <v>242</v>
      </c>
      <c r="BF113" s="75" t="s">
        <v>243</v>
      </c>
      <c r="BI113" s="75" t="s">
        <v>208</v>
      </c>
      <c r="BJ113" s="75" t="s">
        <v>239</v>
      </c>
      <c r="BK113" s="75" t="s">
        <v>233</v>
      </c>
      <c r="BL113" s="75" t="s">
        <v>202</v>
      </c>
      <c r="BM113" s="75" t="s">
        <v>216</v>
      </c>
      <c r="BP113" s="71" t="s">
        <v>548</v>
      </c>
      <c r="BQ113" s="78" t="str">
        <f t="shared" si="6"/>
        <v>CUL DER</v>
      </c>
      <c r="BR113" s="78" t="str">
        <f t="shared" si="14"/>
        <v>CUL</v>
      </c>
      <c r="BS113" s="78" t="str">
        <f t="shared" si="16"/>
        <v/>
      </c>
      <c r="BT113" s="78" t="str">
        <f>VLOOKUP(A113,[2]Hoja1!$A$2:$B$123,2,FALSE)</f>
        <v>BIL</v>
      </c>
      <c r="BU113" s="71">
        <v>27</v>
      </c>
      <c r="BV113" s="71" t="s">
        <v>534</v>
      </c>
      <c r="BW113" s="81">
        <f>VLOOKUP(A113,[2]PE04!$A$7:$A$328,1,FALSE)</f>
        <v>3070362</v>
      </c>
      <c r="BX113" s="81" t="str">
        <f>IFERROR(VLOOKUP( 5,[2]PE04!A38:G365,8,FALSE), "No encontrado")</f>
        <v>No encontrado</v>
      </c>
    </row>
    <row r="114" spans="1:76" ht="13.5" customHeight="1" x14ac:dyDescent="0.25">
      <c r="A114" s="70">
        <v>3070363</v>
      </c>
      <c r="B114" s="71" t="s">
        <v>245</v>
      </c>
      <c r="C114" s="71">
        <v>32</v>
      </c>
      <c r="D114" s="72" t="s">
        <v>100</v>
      </c>
      <c r="E114" s="73" t="s">
        <v>108</v>
      </c>
      <c r="F114" s="74">
        <f t="shared" si="7"/>
        <v>46188</v>
      </c>
      <c r="G114" s="73" t="s">
        <v>109</v>
      </c>
      <c r="H114" s="73" t="s">
        <v>356</v>
      </c>
      <c r="I114" s="71" t="s">
        <v>356</v>
      </c>
      <c r="J114" s="71" t="s">
        <v>261</v>
      </c>
      <c r="M114" s="70" t="s">
        <v>356</v>
      </c>
      <c r="N114" s="71" t="s">
        <v>357</v>
      </c>
      <c r="O114" s="71" t="s">
        <v>238</v>
      </c>
      <c r="P114" s="72" t="s">
        <v>356</v>
      </c>
      <c r="Q114" s="71" t="s">
        <v>293</v>
      </c>
      <c r="R114" s="71" t="s">
        <v>358</v>
      </c>
      <c r="U114" s="75"/>
      <c r="W114" s="75"/>
      <c r="Y114" s="75" t="s">
        <v>204</v>
      </c>
      <c r="Z114" s="71" t="s">
        <v>275</v>
      </c>
      <c r="AA114" s="71" t="s">
        <v>198</v>
      </c>
      <c r="AB114" s="71" t="s">
        <v>199</v>
      </c>
      <c r="AC114" s="75"/>
      <c r="AE114" s="71" t="s">
        <v>206</v>
      </c>
      <c r="AF114" s="71" t="s">
        <v>227</v>
      </c>
      <c r="AG114" s="71" t="s">
        <v>242</v>
      </c>
      <c r="AH114" s="76" t="s">
        <v>243</v>
      </c>
      <c r="AK114" s="71" t="s">
        <v>209</v>
      </c>
      <c r="AL114" s="75" t="s">
        <v>236</v>
      </c>
      <c r="AM114" s="71"/>
      <c r="AN114" s="71"/>
      <c r="AO114" s="71"/>
      <c r="AP114" s="71"/>
      <c r="AQ114" s="71"/>
      <c r="AS114" s="71" t="s">
        <v>196</v>
      </c>
      <c r="AT114" s="75" t="s">
        <v>267</v>
      </c>
      <c r="AV114" s="75" t="s">
        <v>218</v>
      </c>
      <c r="AW114" s="75" t="s">
        <v>254</v>
      </c>
      <c r="AX114" s="75" t="str">
        <f t="shared" si="13"/>
        <v>CINDY YOHANA BOHORQUEZ GARZON</v>
      </c>
      <c r="BA114" s="75" t="s">
        <v>200</v>
      </c>
      <c r="BB114" s="75" t="str">
        <f t="shared" si="15"/>
        <v>ELKIN DURAN MANCIPE</v>
      </c>
      <c r="BE114" s="75" t="s">
        <v>208</v>
      </c>
      <c r="BF114" s="75" t="s">
        <v>239</v>
      </c>
      <c r="BI114" s="75" t="s">
        <v>202</v>
      </c>
      <c r="BJ114" s="75" t="s">
        <v>203</v>
      </c>
      <c r="BK114" s="75" t="s">
        <v>233</v>
      </c>
      <c r="BP114" s="71" t="s">
        <v>202</v>
      </c>
      <c r="BQ114" s="78" t="str">
        <f t="shared" si="6"/>
        <v>CUL</v>
      </c>
      <c r="BR114" s="78" t="str">
        <f t="shared" si="14"/>
        <v/>
      </c>
      <c r="BS114" s="78" t="str">
        <f t="shared" si="16"/>
        <v/>
      </c>
      <c r="BT114" s="78" t="str">
        <f>VLOOKUP(A114,[2]Hoja1!$A$2:$B$123,2,FALSE)</f>
        <v>BIL</v>
      </c>
      <c r="BU114" s="71">
        <v>16</v>
      </c>
      <c r="BV114" s="71" t="s">
        <v>534</v>
      </c>
      <c r="BW114" s="81">
        <f>VLOOKUP(A114,[2]PE04!$A$7:$A$328,1,FALSE)</f>
        <v>3070363</v>
      </c>
      <c r="BX114" s="81" t="str">
        <f>IFERROR(VLOOKUP( 5,[2]PE04!A39:G366,8,FALSE), "No encontrado")</f>
        <v>No encontrado</v>
      </c>
    </row>
    <row r="115" spans="1:76" ht="13.5" customHeight="1" x14ac:dyDescent="0.25">
      <c r="A115" s="70">
        <v>3070364</v>
      </c>
      <c r="B115" s="71" t="s">
        <v>245</v>
      </c>
      <c r="C115" s="71">
        <v>36</v>
      </c>
      <c r="D115" s="72" t="s">
        <v>100</v>
      </c>
      <c r="E115" s="73" t="s">
        <v>108</v>
      </c>
      <c r="F115" s="74">
        <f t="shared" si="7"/>
        <v>46188</v>
      </c>
      <c r="G115" s="73" t="s">
        <v>109</v>
      </c>
      <c r="H115" s="73" t="s">
        <v>356</v>
      </c>
      <c r="I115" s="71" t="s">
        <v>356</v>
      </c>
      <c r="J115" s="71" t="s">
        <v>261</v>
      </c>
      <c r="M115" s="70" t="s">
        <v>356</v>
      </c>
      <c r="N115" s="71" t="s">
        <v>357</v>
      </c>
      <c r="O115" s="71" t="s">
        <v>238</v>
      </c>
      <c r="P115" s="72" t="s">
        <v>246</v>
      </c>
      <c r="Q115" s="71" t="s">
        <v>293</v>
      </c>
      <c r="R115" s="71" t="s">
        <v>358</v>
      </c>
      <c r="U115" s="75"/>
      <c r="W115" s="75"/>
      <c r="Y115" s="75" t="s">
        <v>204</v>
      </c>
      <c r="Z115" s="71" t="s">
        <v>258</v>
      </c>
      <c r="AA115" s="71" t="s">
        <v>198</v>
      </c>
      <c r="AB115" s="71" t="s">
        <v>225</v>
      </c>
      <c r="AC115" s="75"/>
      <c r="AE115" s="71" t="s">
        <v>206</v>
      </c>
      <c r="AF115" s="71" t="s">
        <v>213</v>
      </c>
      <c r="AG115" s="71" t="s">
        <v>242</v>
      </c>
      <c r="AH115" s="76" t="s">
        <v>243</v>
      </c>
      <c r="AK115" s="71" t="s">
        <v>209</v>
      </c>
      <c r="AL115" s="75" t="s">
        <v>228</v>
      </c>
      <c r="AM115" s="71"/>
      <c r="AN115" s="71"/>
      <c r="AO115" s="71"/>
      <c r="AP115" s="71"/>
      <c r="AQ115" s="71"/>
      <c r="AS115" s="71" t="s">
        <v>196</v>
      </c>
      <c r="AT115" s="75" t="s">
        <v>219</v>
      </c>
      <c r="AV115" s="75" t="s">
        <v>218</v>
      </c>
      <c r="AW115" s="75" t="s">
        <v>254</v>
      </c>
      <c r="AX115" s="75" t="str">
        <f t="shared" si="13"/>
        <v>CINDY YOHANA BOHORQUEZ GARZON</v>
      </c>
      <c r="BA115" s="75" t="s">
        <v>200</v>
      </c>
      <c r="BB115" s="75" t="str">
        <f t="shared" si="15"/>
        <v>JULIANA HERNANDEZ BARRERA</v>
      </c>
      <c r="BE115" s="75" t="s">
        <v>208</v>
      </c>
      <c r="BF115" s="75" t="s">
        <v>239</v>
      </c>
      <c r="BI115" s="75" t="s">
        <v>202</v>
      </c>
      <c r="BJ115" s="75" t="s">
        <v>216</v>
      </c>
      <c r="BK115" s="75" t="s">
        <v>233</v>
      </c>
      <c r="BP115" s="71" t="s">
        <v>202</v>
      </c>
      <c r="BQ115" s="78" t="str">
        <f t="shared" si="6"/>
        <v>CUL</v>
      </c>
      <c r="BR115" s="78" t="str">
        <f t="shared" si="14"/>
        <v/>
      </c>
      <c r="BS115" s="78" t="str">
        <f t="shared" si="16"/>
        <v/>
      </c>
      <c r="BT115" s="78" t="str">
        <f>VLOOKUP(A115,[2]Hoja1!$A$2:$B$123,2,FALSE)</f>
        <v>BIL</v>
      </c>
      <c r="BU115" s="71">
        <v>19</v>
      </c>
      <c r="BV115" s="71" t="s">
        <v>534</v>
      </c>
      <c r="BW115" s="81">
        <f>VLOOKUP(A115,[2]PE04!$A$7:$A$328,1,FALSE)</f>
        <v>3070364</v>
      </c>
      <c r="BX115" s="81" t="str">
        <f>IFERROR(VLOOKUP( 5,[2]PE04!A40:G367,8,FALSE), "No encontrado")</f>
        <v>No encontrado</v>
      </c>
    </row>
    <row r="116" spans="1:76" ht="13.5" customHeight="1" x14ac:dyDescent="0.25">
      <c r="A116" s="70">
        <v>3297708</v>
      </c>
      <c r="B116" s="71" t="s">
        <v>190</v>
      </c>
      <c r="C116" s="71">
        <v>70</v>
      </c>
      <c r="D116" s="72" t="s">
        <v>87</v>
      </c>
      <c r="E116" s="73" t="s">
        <v>110</v>
      </c>
      <c r="F116" s="74">
        <v>46197</v>
      </c>
      <c r="G116" s="73" t="s">
        <v>111</v>
      </c>
      <c r="M116" s="82" t="s">
        <v>218</v>
      </c>
      <c r="P116" s="72" t="s">
        <v>500</v>
      </c>
      <c r="Q116" s="71" t="s">
        <v>359</v>
      </c>
      <c r="AX116" s="75" t="str">
        <f t="shared" si="13"/>
        <v/>
      </c>
      <c r="BA116" s="75" t="s">
        <v>198</v>
      </c>
      <c r="BB116" s="75" t="str">
        <f t="shared" si="15"/>
        <v>CRISTINA CASTAÑO CASTILLO</v>
      </c>
      <c r="BE116" s="75" t="s">
        <v>209</v>
      </c>
      <c r="BF116" s="75" t="s">
        <v>236</v>
      </c>
      <c r="BI116" s="75" t="s">
        <v>200</v>
      </c>
      <c r="BJ116" s="75" t="s">
        <v>220</v>
      </c>
      <c r="BK116" s="75" t="s">
        <v>233</v>
      </c>
      <c r="BL116" s="75" t="s">
        <v>204</v>
      </c>
      <c r="BM116" s="75" t="s">
        <v>221</v>
      </c>
      <c r="BN116" s="75" t="s">
        <v>202</v>
      </c>
      <c r="BO116" s="75" t="s">
        <v>216</v>
      </c>
      <c r="BP116" s="75" t="s">
        <v>549</v>
      </c>
      <c r="BQ116" s="78" t="str">
        <f t="shared" si="6"/>
        <v>MAT FIS CUL ETI COM SST DER</v>
      </c>
      <c r="BR116" s="78" t="str">
        <f t="shared" si="14"/>
        <v>FIS CUL ETI COM SST DER</v>
      </c>
      <c r="BS116" s="78" t="str">
        <f t="shared" si="16"/>
        <v>FIS COM SST DER</v>
      </c>
      <c r="BT116" s="78" t="e">
        <f>VLOOKUP(A116,[2]Hoja1!$A$2:$B$123,2,FALSE)</f>
        <v>#N/A</v>
      </c>
      <c r="BW116" s="81" t="e">
        <f>VLOOKUP(A116,[2]PE04!$A$7:$A$328,1,FALSE)</f>
        <v>#N/A</v>
      </c>
      <c r="BX116" s="81" t="str">
        <f>IFERROR(VLOOKUP( 5,[2]PE04!A41:G368,8,FALSE), "No encontrado")</f>
        <v>No encontrado</v>
      </c>
    </row>
    <row r="117" spans="1:76" ht="13.5" customHeight="1" x14ac:dyDescent="0.25">
      <c r="A117" s="70">
        <v>3334496</v>
      </c>
      <c r="B117" s="71" t="s">
        <v>190</v>
      </c>
      <c r="C117" s="71">
        <v>74</v>
      </c>
      <c r="D117" s="72" t="s">
        <v>87</v>
      </c>
      <c r="E117" s="73" t="s">
        <v>112</v>
      </c>
      <c r="F117" s="74">
        <v>46197</v>
      </c>
      <c r="G117" s="73" t="s">
        <v>113</v>
      </c>
      <c r="M117" s="82" t="s">
        <v>218</v>
      </c>
      <c r="P117" s="72" t="s">
        <v>500</v>
      </c>
      <c r="Q117" s="71" t="s">
        <v>359</v>
      </c>
      <c r="AX117" s="75" t="str">
        <f t="shared" si="13"/>
        <v/>
      </c>
      <c r="BA117" s="75" t="s">
        <v>198</v>
      </c>
      <c r="BB117" s="75" t="str">
        <f t="shared" si="15"/>
        <v>ANGELICA JANETH RODRIGUEZ ALONSO</v>
      </c>
      <c r="BE117" s="75" t="s">
        <v>209</v>
      </c>
      <c r="BF117" s="75" t="s">
        <v>236</v>
      </c>
      <c r="BI117" s="75" t="s">
        <v>200</v>
      </c>
      <c r="BJ117" s="75" t="s">
        <v>220</v>
      </c>
      <c r="BK117" s="75" t="s">
        <v>233</v>
      </c>
      <c r="BL117" s="75" t="s">
        <v>204</v>
      </c>
      <c r="BM117" s="75" t="s">
        <v>221</v>
      </c>
      <c r="BN117" s="75" t="s">
        <v>202</v>
      </c>
      <c r="BO117" s="75" t="s">
        <v>216</v>
      </c>
      <c r="BP117" s="75" t="s">
        <v>549</v>
      </c>
      <c r="BQ117" s="78" t="str">
        <f t="shared" si="6"/>
        <v>MAT FIS CUL ETI COM SST DER</v>
      </c>
      <c r="BR117" s="78" t="str">
        <f t="shared" si="14"/>
        <v>FIS CUL ETI COM SST DER</v>
      </c>
      <c r="BS117" s="78" t="str">
        <f t="shared" si="16"/>
        <v>FIS COM SST DER</v>
      </c>
      <c r="BT117" s="78" t="str">
        <f>VLOOKUP(A117,[2]Hoja1!$A$2:$B$123,2,FALSE)</f>
        <v>BIL</v>
      </c>
      <c r="BW117" s="81">
        <f>VLOOKUP(A117,[2]PE04!$A$7:$A$328,1,FALSE)</f>
        <v>3334496</v>
      </c>
      <c r="BX117" s="81" t="str">
        <f>IFERROR(VLOOKUP( 5,[2]PE04!A42:G369,8,FALSE), "No encontrado")</f>
        <v>No encontrado</v>
      </c>
    </row>
    <row r="118" spans="1:76" ht="13.5" customHeight="1" x14ac:dyDescent="0.25">
      <c r="A118" s="70">
        <v>3336285</v>
      </c>
      <c r="B118" s="71" t="s">
        <v>190</v>
      </c>
      <c r="C118" s="71">
        <v>56</v>
      </c>
      <c r="D118" s="72" t="s">
        <v>93</v>
      </c>
      <c r="E118" s="73" t="s">
        <v>114</v>
      </c>
      <c r="F118" s="74">
        <v>46201</v>
      </c>
      <c r="G118" s="73" t="s">
        <v>115</v>
      </c>
      <c r="K118" s="82" t="s">
        <v>191</v>
      </c>
      <c r="M118" s="82" t="s">
        <v>191</v>
      </c>
      <c r="P118" s="72" t="s">
        <v>240</v>
      </c>
      <c r="Q118" s="71" t="s">
        <v>360</v>
      </c>
      <c r="BA118" s="75" t="s">
        <v>198</v>
      </c>
      <c r="BB118" s="75" t="str">
        <f t="shared" si="15"/>
        <v>CRISTINA CASTAÑO CASTILLO</v>
      </c>
      <c r="BE118" s="75" t="s">
        <v>242</v>
      </c>
      <c r="BF118" s="75" t="s">
        <v>243</v>
      </c>
      <c r="BI118" s="75" t="s">
        <v>200</v>
      </c>
      <c r="BJ118" s="75" t="s">
        <v>220</v>
      </c>
      <c r="BK118" s="75" t="s">
        <v>233</v>
      </c>
      <c r="BL118" s="75" t="s">
        <v>209</v>
      </c>
      <c r="BM118" s="75" t="s">
        <v>228</v>
      </c>
      <c r="BN118" s="75" t="s">
        <v>202</v>
      </c>
      <c r="BO118" s="75" t="s">
        <v>216</v>
      </c>
      <c r="BP118" s="73" t="s">
        <v>550</v>
      </c>
      <c r="BQ118" s="78" t="str">
        <f t="shared" si="6"/>
        <v>MAT EMP CUL ETI COM SST DER</v>
      </c>
      <c r="BR118" s="78" t="str">
        <f t="shared" si="14"/>
        <v>EMP CUL ETI COM SST DER</v>
      </c>
      <c r="BS118" s="78" t="str">
        <f t="shared" si="16"/>
        <v>ETI COM SST DER</v>
      </c>
      <c r="BT118" s="78" t="e">
        <f>VLOOKUP(A118,[2]Hoja1!$A$2:$B$123,2,FALSE)</f>
        <v>#N/A</v>
      </c>
      <c r="BW118" s="81">
        <f>VLOOKUP(A118,[2]PE04!$A$7:$A$328,1,FALSE)</f>
        <v>3336285</v>
      </c>
      <c r="BX118" s="81" t="str">
        <f>IFERROR(VLOOKUP( 5,[2]PE04!A43:G370,8,FALSE), "No encontrado")</f>
        <v>No encontrado</v>
      </c>
    </row>
    <row r="119" spans="1:76" ht="13.5" customHeight="1" x14ac:dyDescent="0.25">
      <c r="A119" s="70">
        <v>3336286</v>
      </c>
      <c r="B119" s="71" t="s">
        <v>190</v>
      </c>
      <c r="C119" s="71">
        <v>43</v>
      </c>
      <c r="D119" s="72" t="s">
        <v>93</v>
      </c>
      <c r="E119" s="73" t="s">
        <v>114</v>
      </c>
      <c r="F119" s="74">
        <v>46201</v>
      </c>
      <c r="G119" s="73" t="s">
        <v>115</v>
      </c>
      <c r="K119" s="82" t="s">
        <v>230</v>
      </c>
      <c r="M119" s="82" t="s">
        <v>230</v>
      </c>
      <c r="P119" s="72" t="s">
        <v>240</v>
      </c>
      <c r="Q119" s="71" t="s">
        <v>360</v>
      </c>
      <c r="BA119" s="75" t="s">
        <v>198</v>
      </c>
      <c r="BB119" s="75" t="str">
        <f t="shared" si="15"/>
        <v>SONIA PATRICIA CASTAÑEDA CAYCEDO</v>
      </c>
      <c r="BE119" s="75" t="s">
        <v>208</v>
      </c>
      <c r="BF119" s="75" t="s">
        <v>239</v>
      </c>
      <c r="BI119" s="75" t="s">
        <v>200</v>
      </c>
      <c r="BJ119" s="75" t="s">
        <v>220</v>
      </c>
      <c r="BK119" s="75" t="s">
        <v>233</v>
      </c>
      <c r="BL119" s="75" t="s">
        <v>209</v>
      </c>
      <c r="BM119" s="75" t="s">
        <v>228</v>
      </c>
      <c r="BN119" s="75" t="s">
        <v>204</v>
      </c>
      <c r="BP119" s="73" t="s">
        <v>551</v>
      </c>
      <c r="BQ119" s="78" t="str">
        <f t="shared" si="6"/>
        <v>MAT EMP CIE CUL ETI COM SST</v>
      </c>
      <c r="BR119" s="78" t="str">
        <f t="shared" si="14"/>
        <v>EMP CIE CUL ETI COM SST</v>
      </c>
      <c r="BS119" s="78" t="str">
        <f t="shared" si="16"/>
        <v>CIE CUL COM SST</v>
      </c>
      <c r="BT119" s="78" t="str">
        <f>VLOOKUP(A119,[2]Hoja1!$A$2:$B$123,2,FALSE)</f>
        <v>BIL</v>
      </c>
      <c r="BW119" s="81">
        <f>VLOOKUP(A119,[2]PE04!$A$7:$A$328,1,FALSE)</f>
        <v>3336286</v>
      </c>
      <c r="BX119" s="81" t="str">
        <f>IFERROR(VLOOKUP( 5,[2]PE04!A44:G371,8,FALSE), "No encontrado")</f>
        <v>No encontrado</v>
      </c>
    </row>
    <row r="120" spans="1:76" ht="13.5" customHeight="1" x14ac:dyDescent="0.25">
      <c r="A120" s="70">
        <v>3336287</v>
      </c>
      <c r="B120" s="71" t="s">
        <v>190</v>
      </c>
      <c r="C120" s="71">
        <v>40</v>
      </c>
      <c r="D120" s="72" t="s">
        <v>93</v>
      </c>
      <c r="E120" s="73" t="s">
        <v>114</v>
      </c>
      <c r="F120" s="74">
        <v>46201</v>
      </c>
      <c r="G120" s="73" t="s">
        <v>115</v>
      </c>
      <c r="K120" s="82" t="s">
        <v>191</v>
      </c>
      <c r="M120" s="82" t="s">
        <v>191</v>
      </c>
      <c r="P120" s="72" t="s">
        <v>240</v>
      </c>
      <c r="Q120" s="71" t="s">
        <v>360</v>
      </c>
      <c r="BA120" s="75" t="s">
        <v>198</v>
      </c>
      <c r="BB120" s="75" t="str">
        <f t="shared" si="15"/>
        <v>ERICK RUIZ NOREÑA</v>
      </c>
      <c r="BE120" s="75" t="s">
        <v>242</v>
      </c>
      <c r="BF120" s="75" t="s">
        <v>243</v>
      </c>
      <c r="BI120" s="75" t="s">
        <v>209</v>
      </c>
      <c r="BJ120" s="75" t="s">
        <v>226</v>
      </c>
      <c r="BK120" s="75" t="s">
        <v>233</v>
      </c>
      <c r="BL120" s="75" t="s">
        <v>200</v>
      </c>
      <c r="BM120" s="75" t="s">
        <v>220</v>
      </c>
      <c r="BN120" s="75" t="s">
        <v>204</v>
      </c>
      <c r="BO120" s="75" t="s">
        <v>217</v>
      </c>
      <c r="BP120" s="73" t="s">
        <v>550</v>
      </c>
      <c r="BQ120" s="78" t="str">
        <f t="shared" si="6"/>
        <v>MAT EMP CUL ETI COM SST DER</v>
      </c>
      <c r="BR120" s="78" t="str">
        <f t="shared" si="14"/>
        <v>MAT CUL ETI COM SST DER</v>
      </c>
      <c r="BS120" s="78" t="str">
        <f t="shared" si="16"/>
        <v>CUL COM SST DER</v>
      </c>
      <c r="BT120" s="78" t="e">
        <f>VLOOKUP(A120,[2]Hoja1!$A$2:$B$123,2,FALSE)</f>
        <v>#N/A</v>
      </c>
      <c r="BW120" s="81">
        <f>VLOOKUP(A120,[2]PE04!$A$7:$A$328,1,FALSE)</f>
        <v>3336287</v>
      </c>
      <c r="BX120" s="81" t="str">
        <f>IFERROR(VLOOKUP( 5,[2]PE04!A45:G372,8,FALSE), "No encontrado")</f>
        <v>No encontrado</v>
      </c>
    </row>
    <row r="121" spans="1:76" ht="13.5" customHeight="1" x14ac:dyDescent="0.25">
      <c r="A121" s="70">
        <v>3336288</v>
      </c>
      <c r="B121" s="71" t="s">
        <v>190</v>
      </c>
      <c r="C121" s="71">
        <v>44</v>
      </c>
      <c r="D121" s="72" t="s">
        <v>93</v>
      </c>
      <c r="E121" s="73" t="s">
        <v>114</v>
      </c>
      <c r="F121" s="74">
        <v>46201</v>
      </c>
      <c r="G121" s="73" t="s">
        <v>115</v>
      </c>
      <c r="K121" s="82" t="s">
        <v>191</v>
      </c>
      <c r="M121" s="82" t="s">
        <v>191</v>
      </c>
      <c r="P121" s="72" t="s">
        <v>240</v>
      </c>
      <c r="Q121" s="71" t="s">
        <v>360</v>
      </c>
      <c r="BA121" s="75" t="s">
        <v>198</v>
      </c>
      <c r="BB121" s="75" t="str">
        <f t="shared" si="15"/>
        <v>ERICK RUIZ NOREÑA</v>
      </c>
      <c r="BE121" s="75" t="s">
        <v>242</v>
      </c>
      <c r="BF121" s="75" t="s">
        <v>243</v>
      </c>
      <c r="BI121" s="75" t="s">
        <v>209</v>
      </c>
      <c r="BJ121" s="75" t="s">
        <v>226</v>
      </c>
      <c r="BK121" s="75" t="s">
        <v>233</v>
      </c>
      <c r="BL121" s="75" t="s">
        <v>200</v>
      </c>
      <c r="BM121" s="75" t="s">
        <v>220</v>
      </c>
      <c r="BN121" s="75" t="s">
        <v>204</v>
      </c>
      <c r="BO121" s="75" t="s">
        <v>217</v>
      </c>
      <c r="BP121" s="115" t="s">
        <v>550</v>
      </c>
      <c r="BQ121" s="78" t="str">
        <f t="shared" si="6"/>
        <v>MAT EMP CUL ETI COM SST DER</v>
      </c>
      <c r="BR121" s="78" t="str">
        <f t="shared" si="14"/>
        <v>MAT CUL ETI COM SST DER</v>
      </c>
      <c r="BS121" s="78" t="str">
        <f t="shared" si="16"/>
        <v>CUL COM SST DER</v>
      </c>
      <c r="BT121" s="78" t="e">
        <f>VLOOKUP(A121,[2]Hoja1!$A$2:$B$123,2,FALSE)</f>
        <v>#N/A</v>
      </c>
      <c r="BW121" s="81">
        <f>VLOOKUP(A121,[2]PE04!$A$7:$A$328,1,FALSE)</f>
        <v>3336288</v>
      </c>
      <c r="BX121" s="81" t="str">
        <f>IFERROR(VLOOKUP( 5,[2]PE04!A46:G373,8,FALSE), "No encontrado")</f>
        <v>No encontrado</v>
      </c>
    </row>
    <row r="122" spans="1:76" ht="13.5" customHeight="1" x14ac:dyDescent="0.25">
      <c r="A122" s="70">
        <v>3118311</v>
      </c>
      <c r="B122" s="71" t="s">
        <v>245</v>
      </c>
      <c r="C122" s="71">
        <v>37</v>
      </c>
      <c r="D122" s="72" t="s">
        <v>271</v>
      </c>
      <c r="E122" s="73" t="s">
        <v>116</v>
      </c>
      <c r="F122" s="74">
        <f t="shared" ref="F122:F185" si="17">IF(
OR(((ROUND((G122-E122)/30,0))=27),((ROUND((G122-E122)/30,0))=15)),
EDATE(G122,-6),
IF(
(ROUND((G122-E122)/30,0))=12,
EDATE(G122,-3),
IF(
(ROUND((G122-E122)/30,0))=9,
EDATE(G122,0),"CALCULAR")))</f>
        <v>46251</v>
      </c>
      <c r="G122" s="73" t="s">
        <v>117</v>
      </c>
      <c r="H122" s="73" t="s">
        <v>284</v>
      </c>
      <c r="J122" s="71" t="s">
        <v>226</v>
      </c>
      <c r="M122" s="70" t="s">
        <v>284</v>
      </c>
      <c r="N122" s="71" t="s">
        <v>361</v>
      </c>
      <c r="O122" s="71" t="s">
        <v>329</v>
      </c>
      <c r="P122" s="72" t="s">
        <v>284</v>
      </c>
      <c r="Q122" s="71" t="s">
        <v>274</v>
      </c>
      <c r="R122" s="71" t="s">
        <v>274</v>
      </c>
      <c r="U122" s="75"/>
      <c r="W122" s="75"/>
      <c r="Y122" s="75"/>
      <c r="AC122" s="75"/>
      <c r="AE122" s="71" t="s">
        <v>208</v>
      </c>
      <c r="AF122" s="71" t="s">
        <v>235</v>
      </c>
      <c r="AG122" s="71" t="s">
        <v>204</v>
      </c>
      <c r="AH122" s="76" t="s">
        <v>221</v>
      </c>
      <c r="AK122" s="71" t="s">
        <v>198</v>
      </c>
      <c r="AL122" s="75" t="s">
        <v>199</v>
      </c>
      <c r="AM122" s="71"/>
      <c r="AN122" s="71"/>
      <c r="AO122" s="71" t="s">
        <v>200</v>
      </c>
      <c r="AP122" s="71" t="s">
        <v>201</v>
      </c>
      <c r="AQ122" s="71"/>
      <c r="AS122" s="71" t="s">
        <v>209</v>
      </c>
      <c r="AT122" s="75" t="s">
        <v>228</v>
      </c>
      <c r="AV122" s="75" t="s">
        <v>218</v>
      </c>
      <c r="AW122" s="75" t="s">
        <v>202</v>
      </c>
      <c r="AX122" s="75" t="str">
        <f t="shared" ref="AX122:AX153" si="18">IFERROR(VLOOKUP(A122,_p7_2025,2,FALSE),"")</f>
        <v>MELISSA ANDREA LAITON GARNICA</v>
      </c>
      <c r="BA122" s="75" t="s">
        <v>194</v>
      </c>
      <c r="BB122" s="75" t="str">
        <f t="shared" si="15"/>
        <v>CAMILO ERNESTO CALDERON GALINDO</v>
      </c>
      <c r="BE122" s="75" t="s">
        <v>206</v>
      </c>
      <c r="BF122" s="75" t="s">
        <v>207</v>
      </c>
      <c r="BI122" s="75" t="s">
        <v>196</v>
      </c>
      <c r="BJ122" s="75" t="s">
        <v>267</v>
      </c>
      <c r="BL122" s="75" t="s">
        <v>254</v>
      </c>
      <c r="BM122" s="75" t="s">
        <v>255</v>
      </c>
      <c r="BP122" s="73" t="s">
        <v>327</v>
      </c>
      <c r="BQ122" s="78" t="str">
        <f t="shared" si="6"/>
        <v>COM INV</v>
      </c>
      <c r="BR122" s="78" t="str">
        <f t="shared" si="14"/>
        <v>INV</v>
      </c>
      <c r="BS122" s="78" t="str">
        <f t="shared" si="16"/>
        <v/>
      </c>
      <c r="BT122" s="78" t="str">
        <f>VLOOKUP(A122,[2]Hoja1!$A$2:$B$123,2,FALSE)</f>
        <v>BIL</v>
      </c>
      <c r="BU122" s="71">
        <v>26</v>
      </c>
      <c r="BV122" s="71" t="s">
        <v>534</v>
      </c>
      <c r="BW122" s="81">
        <f>VLOOKUP(A122,[2]PE04!$A$7:$A$328,1,FALSE)</f>
        <v>3118311</v>
      </c>
      <c r="BX122" s="81" t="str">
        <f>IFERROR(VLOOKUP( 5,[2]PE04!A47:G374,8,FALSE), "No encontrado")</f>
        <v>No encontrado</v>
      </c>
    </row>
    <row r="123" spans="1:76" ht="13.5" customHeight="1" x14ac:dyDescent="0.25">
      <c r="A123" s="70">
        <v>3118374</v>
      </c>
      <c r="B123" s="71" t="s">
        <v>245</v>
      </c>
      <c r="C123" s="71">
        <v>44</v>
      </c>
      <c r="D123" s="72" t="s">
        <v>101</v>
      </c>
      <c r="E123" s="73" t="s">
        <v>116</v>
      </c>
      <c r="F123" s="74">
        <f t="shared" si="17"/>
        <v>46251</v>
      </c>
      <c r="G123" s="73" t="s">
        <v>117</v>
      </c>
      <c r="H123" s="73" t="s">
        <v>362</v>
      </c>
      <c r="J123" s="71" t="s">
        <v>227</v>
      </c>
      <c r="M123" s="70" t="s">
        <v>362</v>
      </c>
      <c r="O123" s="71" t="s">
        <v>233</v>
      </c>
      <c r="P123" s="72" t="s">
        <v>362</v>
      </c>
      <c r="Q123" s="71" t="s">
        <v>297</v>
      </c>
      <c r="R123" s="71" t="s">
        <v>297</v>
      </c>
      <c r="U123" s="75"/>
      <c r="W123" s="75"/>
      <c r="Y123" s="75"/>
      <c r="AC123" s="75" t="s">
        <v>254</v>
      </c>
      <c r="AD123" s="71" t="s">
        <v>255</v>
      </c>
      <c r="AE123" s="71" t="s">
        <v>204</v>
      </c>
      <c r="AF123" s="71" t="s">
        <v>205</v>
      </c>
      <c r="AG123" s="71" t="s">
        <v>208</v>
      </c>
      <c r="AH123" s="76" t="s">
        <v>235</v>
      </c>
      <c r="AK123" s="71" t="s">
        <v>196</v>
      </c>
      <c r="AL123" s="75" t="s">
        <v>281</v>
      </c>
      <c r="AM123" s="71"/>
      <c r="AN123" s="71"/>
      <c r="AO123" s="71"/>
      <c r="AP123" s="71"/>
      <c r="AQ123" s="71"/>
      <c r="AS123" s="71" t="s">
        <v>198</v>
      </c>
      <c r="AT123" s="75" t="s">
        <v>253</v>
      </c>
      <c r="AV123" s="75" t="s">
        <v>218</v>
      </c>
      <c r="AW123" s="75" t="s">
        <v>200</v>
      </c>
      <c r="AX123" s="75" t="str">
        <f t="shared" si="18"/>
        <v>ELKIN DURAN MANCIPE</v>
      </c>
      <c r="BA123" s="75" t="s">
        <v>209</v>
      </c>
      <c r="BB123" s="75" t="str">
        <f t="shared" si="15"/>
        <v>ALBERTO ANTONIO TAPIA TORRES</v>
      </c>
      <c r="BE123" s="75" t="s">
        <v>202</v>
      </c>
      <c r="BF123" s="75" t="s">
        <v>203</v>
      </c>
      <c r="BI123" s="75" t="s">
        <v>242</v>
      </c>
      <c r="BJ123" s="75" t="s">
        <v>243</v>
      </c>
      <c r="BL123" s="75" t="s">
        <v>206</v>
      </c>
      <c r="BM123" s="75" t="s">
        <v>207</v>
      </c>
      <c r="BP123" s="73" t="s">
        <v>552</v>
      </c>
      <c r="BQ123" s="78" t="str">
        <f t="shared" si="6"/>
        <v>CIE SST</v>
      </c>
      <c r="BR123" s="78" t="str">
        <f t="shared" si="14"/>
        <v>SST</v>
      </c>
      <c r="BS123" s="78" t="str">
        <f t="shared" si="16"/>
        <v/>
      </c>
      <c r="BT123" s="78" t="str">
        <f>VLOOKUP(A123,[2]Hoja1!$A$2:$B$123,2,FALSE)</f>
        <v>BIL</v>
      </c>
      <c r="BU123" s="71">
        <v>18</v>
      </c>
      <c r="BV123" s="71" t="s">
        <v>534</v>
      </c>
      <c r="BW123" s="81">
        <f>VLOOKUP(A123,[2]PE04!$A$7:$A$328,1,FALSE)</f>
        <v>3118374</v>
      </c>
      <c r="BX123" s="81" t="str">
        <f>IFERROR(VLOOKUP( 5,[2]PE04!A48:G375,8,FALSE), "No encontrado")</f>
        <v>No encontrado</v>
      </c>
    </row>
    <row r="124" spans="1:76" ht="13.5" customHeight="1" x14ac:dyDescent="0.25">
      <c r="A124" s="70">
        <v>3118406</v>
      </c>
      <c r="B124" s="71" t="s">
        <v>245</v>
      </c>
      <c r="C124" s="71">
        <v>43</v>
      </c>
      <c r="D124" s="72" t="s">
        <v>99</v>
      </c>
      <c r="E124" s="73" t="s">
        <v>116</v>
      </c>
      <c r="F124" s="74">
        <f t="shared" si="17"/>
        <v>46251</v>
      </c>
      <c r="G124" s="73" t="s">
        <v>117</v>
      </c>
      <c r="H124" s="73" t="s">
        <v>268</v>
      </c>
      <c r="J124" s="71" t="s">
        <v>261</v>
      </c>
      <c r="M124" s="70" t="s">
        <v>262</v>
      </c>
      <c r="O124" s="71" t="s">
        <v>231</v>
      </c>
      <c r="P124" s="72" t="s">
        <v>262</v>
      </c>
      <c r="Q124" s="71" t="s">
        <v>263</v>
      </c>
      <c r="R124" s="71" t="s">
        <v>263</v>
      </c>
      <c r="U124" s="75"/>
      <c r="W124" s="75"/>
      <c r="Y124" s="75"/>
      <c r="AC124" s="75" t="s">
        <v>204</v>
      </c>
      <c r="AD124" s="71" t="s">
        <v>221</v>
      </c>
      <c r="AE124" s="71" t="s">
        <v>206</v>
      </c>
      <c r="AF124" s="71" t="s">
        <v>213</v>
      </c>
      <c r="AG124" s="71" t="s">
        <v>198</v>
      </c>
      <c r="AH124" s="76" t="s">
        <v>253</v>
      </c>
      <c r="AK124" s="71" t="s">
        <v>209</v>
      </c>
      <c r="AL124" s="75" t="s">
        <v>226</v>
      </c>
      <c r="AM124" s="71"/>
      <c r="AN124" s="71"/>
      <c r="AO124" s="71" t="s">
        <v>208</v>
      </c>
      <c r="AP124" s="71" t="s">
        <v>235</v>
      </c>
      <c r="AQ124" s="71"/>
      <c r="AS124" s="71" t="s">
        <v>196</v>
      </c>
      <c r="AT124" s="75" t="s">
        <v>244</v>
      </c>
      <c r="AV124" s="75" t="s">
        <v>218</v>
      </c>
      <c r="AW124" s="75" t="s">
        <v>200</v>
      </c>
      <c r="AX124" s="75" t="str">
        <f t="shared" si="18"/>
        <v>ELKIN DURAN MANCIPE</v>
      </c>
      <c r="BE124" s="75" t="s">
        <v>202</v>
      </c>
      <c r="BF124" s="75" t="s">
        <v>203</v>
      </c>
      <c r="BI124" s="75" t="s">
        <v>254</v>
      </c>
      <c r="BJ124" s="75" t="s">
        <v>544</v>
      </c>
      <c r="BL124" s="75" t="s">
        <v>194</v>
      </c>
      <c r="BM124" s="75" t="s">
        <v>545</v>
      </c>
      <c r="BP124" s="73" t="s">
        <v>363</v>
      </c>
      <c r="BQ124" s="78" t="str">
        <f t="shared" si="6"/>
        <v>INV FIS</v>
      </c>
      <c r="BR124" s="78" t="str">
        <f t="shared" si="14"/>
        <v>FIS</v>
      </c>
      <c r="BS124" s="78" t="str">
        <f t="shared" si="16"/>
        <v/>
      </c>
      <c r="BT124" s="78" t="str">
        <f>VLOOKUP(A124,[2]Hoja1!$A$2:$B$123,2,FALSE)</f>
        <v>BIL</v>
      </c>
      <c r="BU124" s="71">
        <v>38</v>
      </c>
      <c r="BV124" s="71" t="s">
        <v>534</v>
      </c>
      <c r="BW124" s="81">
        <f>VLOOKUP(A124,[2]PE04!$A$7:$A$328,1,FALSE)</f>
        <v>3118406</v>
      </c>
      <c r="BX124" s="81" t="str">
        <f>IFERROR(VLOOKUP( 5,[2]PE04!A49:G376,8,FALSE), "No encontrado")</f>
        <v>No encontrado</v>
      </c>
    </row>
    <row r="125" spans="1:76" ht="13.5" customHeight="1" x14ac:dyDescent="0.25">
      <c r="A125" s="70">
        <v>3118491</v>
      </c>
      <c r="B125" s="71" t="s">
        <v>245</v>
      </c>
      <c r="C125" s="71">
        <v>41</v>
      </c>
      <c r="D125" s="72" t="s">
        <v>271</v>
      </c>
      <c r="E125" s="73" t="s">
        <v>116</v>
      </c>
      <c r="F125" s="74">
        <f t="shared" si="17"/>
        <v>46251</v>
      </c>
      <c r="G125" s="73" t="s">
        <v>117</v>
      </c>
      <c r="H125" s="73" t="s">
        <v>284</v>
      </c>
      <c r="J125" s="71" t="s">
        <v>226</v>
      </c>
      <c r="M125" s="70" t="s">
        <v>284</v>
      </c>
      <c r="N125" s="71" t="s">
        <v>361</v>
      </c>
      <c r="O125" s="71" t="s">
        <v>329</v>
      </c>
      <c r="P125" s="72" t="s">
        <v>284</v>
      </c>
      <c r="Q125" s="71" t="s">
        <v>274</v>
      </c>
      <c r="R125" s="71" t="s">
        <v>274</v>
      </c>
      <c r="U125" s="75"/>
      <c r="W125" s="75"/>
      <c r="Y125" s="75"/>
      <c r="AC125" s="75"/>
      <c r="AE125" s="71" t="s">
        <v>208</v>
      </c>
      <c r="AF125" s="71" t="s">
        <v>239</v>
      </c>
      <c r="AG125" s="71" t="s">
        <v>204</v>
      </c>
      <c r="AH125" s="76" t="s">
        <v>221</v>
      </c>
      <c r="AK125" s="71" t="s">
        <v>198</v>
      </c>
      <c r="AL125" s="75" t="s">
        <v>199</v>
      </c>
      <c r="AM125" s="71"/>
      <c r="AN125" s="71"/>
      <c r="AO125" s="71" t="s">
        <v>200</v>
      </c>
      <c r="AP125" s="71" t="s">
        <v>201</v>
      </c>
      <c r="AQ125" s="71"/>
      <c r="AS125" s="71" t="s">
        <v>209</v>
      </c>
      <c r="AT125" s="75" t="s">
        <v>236</v>
      </c>
      <c r="AV125" s="75" t="s">
        <v>218</v>
      </c>
      <c r="AW125" s="75" t="s">
        <v>202</v>
      </c>
      <c r="AX125" s="75" t="str">
        <f t="shared" si="18"/>
        <v>CHRISTIAN CAMILO RODRIGUEZ SALAS</v>
      </c>
      <c r="BA125" s="75" t="s">
        <v>194</v>
      </c>
      <c r="BB125" s="75" t="str">
        <f>VLOOKUP(A125,_p8_2025,2,FALSE)</f>
        <v>CAMILO ERNESTO CALDERON GALINDO</v>
      </c>
      <c r="BE125" s="75" t="s">
        <v>206</v>
      </c>
      <c r="BF125" s="75" t="s">
        <v>207</v>
      </c>
      <c r="BI125" s="75" t="s">
        <v>196</v>
      </c>
      <c r="BJ125" s="75" t="s">
        <v>267</v>
      </c>
      <c r="BL125" s="75" t="s">
        <v>254</v>
      </c>
      <c r="BM125" s="75" t="s">
        <v>255</v>
      </c>
      <c r="BP125" s="73" t="s">
        <v>364</v>
      </c>
      <c r="BQ125" s="78" t="str">
        <f t="shared" si="6"/>
        <v>COM INV</v>
      </c>
      <c r="BR125" s="78" t="str">
        <f t="shared" si="14"/>
        <v>INV</v>
      </c>
      <c r="BS125" s="78" t="str">
        <f t="shared" si="16"/>
        <v/>
      </c>
      <c r="BT125" s="78" t="str">
        <f>VLOOKUP(A125,[2]Hoja1!$A$2:$B$123,2,FALSE)</f>
        <v>BIL</v>
      </c>
      <c r="BU125" s="71">
        <v>32</v>
      </c>
      <c r="BV125" s="71" t="s">
        <v>534</v>
      </c>
      <c r="BW125" s="81">
        <f>VLOOKUP(A125,[2]PE04!$A$7:$A$328,1,FALSE)</f>
        <v>3118491</v>
      </c>
      <c r="BX125" s="81" t="str">
        <f>IFERROR(VLOOKUP( 5,[2]PE04!A50:G377,8,FALSE), "No encontrado")</f>
        <v>No encontrado</v>
      </c>
    </row>
    <row r="126" spans="1:76" ht="13.5" customHeight="1" x14ac:dyDescent="0.25">
      <c r="A126" s="70">
        <v>3118492</v>
      </c>
      <c r="B126" s="71" t="s">
        <v>245</v>
      </c>
      <c r="C126" s="71">
        <v>40</v>
      </c>
      <c r="D126" s="72" t="s">
        <v>271</v>
      </c>
      <c r="E126" s="73" t="s">
        <v>116</v>
      </c>
      <c r="F126" s="74">
        <f t="shared" si="17"/>
        <v>46251</v>
      </c>
      <c r="G126" s="73" t="s">
        <v>117</v>
      </c>
      <c r="H126" s="73" t="s">
        <v>284</v>
      </c>
      <c r="J126" s="71" t="s">
        <v>226</v>
      </c>
      <c r="M126" s="70" t="s">
        <v>284</v>
      </c>
      <c r="N126" s="71" t="s">
        <v>365</v>
      </c>
      <c r="O126" s="71" t="s">
        <v>329</v>
      </c>
      <c r="P126" s="72" t="s">
        <v>284</v>
      </c>
      <c r="Q126" s="71" t="s">
        <v>274</v>
      </c>
      <c r="R126" s="71" t="s">
        <v>274</v>
      </c>
      <c r="U126" s="75"/>
      <c r="W126" s="75"/>
      <c r="Y126" s="75"/>
      <c r="AC126" s="75"/>
      <c r="AE126" s="71" t="s">
        <v>208</v>
      </c>
      <c r="AF126" s="71" t="s">
        <v>235</v>
      </c>
      <c r="AG126" s="71" t="s">
        <v>204</v>
      </c>
      <c r="AH126" s="76" t="s">
        <v>221</v>
      </c>
      <c r="AK126" s="71" t="s">
        <v>198</v>
      </c>
      <c r="AL126" s="75" t="s">
        <v>225</v>
      </c>
      <c r="AM126" s="71"/>
      <c r="AN126" s="71"/>
      <c r="AO126" s="71"/>
      <c r="AP126" s="71"/>
      <c r="AQ126" s="71"/>
      <c r="AS126" s="71" t="s">
        <v>209</v>
      </c>
      <c r="AT126" s="75" t="s">
        <v>226</v>
      </c>
      <c r="AV126" s="75" t="s">
        <v>218</v>
      </c>
      <c r="AW126" s="75" t="s">
        <v>200</v>
      </c>
      <c r="AX126" s="75" t="str">
        <f t="shared" si="18"/>
        <v>WILDER JULIAN ARIAS HERNANDEZ</v>
      </c>
      <c r="BA126" s="75" t="s">
        <v>202</v>
      </c>
      <c r="BB126" s="75" t="str">
        <f>VLOOKUP(A126,_p8_2025,2,FALSE)</f>
        <v>CHRISTIAN CAMILO RODRIGUEZ SALAS</v>
      </c>
      <c r="BE126" s="75" t="s">
        <v>194</v>
      </c>
      <c r="BF126" s="75" t="s">
        <v>195</v>
      </c>
      <c r="BI126" s="75" t="s">
        <v>196</v>
      </c>
      <c r="BJ126" s="75" t="s">
        <v>267</v>
      </c>
      <c r="BL126" s="75" t="s">
        <v>206</v>
      </c>
      <c r="BM126" s="75" t="s">
        <v>207</v>
      </c>
      <c r="BP126" s="73" t="s">
        <v>364</v>
      </c>
      <c r="BQ126" s="78" t="str">
        <f t="shared" si="6"/>
        <v>COM INV SST</v>
      </c>
      <c r="BR126" s="78" t="str">
        <f t="shared" si="14"/>
        <v>INV SST</v>
      </c>
      <c r="BS126" s="78" t="str">
        <f t="shared" si="16"/>
        <v>INV</v>
      </c>
      <c r="BT126" s="78" t="str">
        <f>VLOOKUP(A126,[2]Hoja1!$A$2:$B$123,2,FALSE)</f>
        <v>BIL</v>
      </c>
      <c r="BU126" s="71">
        <v>24</v>
      </c>
      <c r="BV126" s="71" t="s">
        <v>534</v>
      </c>
      <c r="BW126" s="81">
        <f>VLOOKUP(A126,[2]PE04!$A$7:$A$328,1,FALSE)</f>
        <v>3118492</v>
      </c>
      <c r="BX126" s="81" t="str">
        <f>IFERROR(VLOOKUP( 5,[2]PE04!A51:G378,8,FALSE), "No encontrado")</f>
        <v>No encontrado</v>
      </c>
    </row>
    <row r="127" spans="1:76" ht="13.5" customHeight="1" x14ac:dyDescent="0.25">
      <c r="A127" s="70">
        <v>3118493</v>
      </c>
      <c r="B127" s="71" t="s">
        <v>245</v>
      </c>
      <c r="C127" s="71">
        <v>41</v>
      </c>
      <c r="D127" s="72" t="s">
        <v>271</v>
      </c>
      <c r="E127" s="73" t="s">
        <v>116</v>
      </c>
      <c r="F127" s="74">
        <f t="shared" si="17"/>
        <v>46251</v>
      </c>
      <c r="G127" s="73" t="s">
        <v>117</v>
      </c>
      <c r="H127" s="73" t="s">
        <v>284</v>
      </c>
      <c r="J127" s="71" t="s">
        <v>226</v>
      </c>
      <c r="M127" s="70" t="s">
        <v>284</v>
      </c>
      <c r="N127" s="71" t="s">
        <v>365</v>
      </c>
      <c r="O127" s="71" t="s">
        <v>329</v>
      </c>
      <c r="P127" s="72" t="s">
        <v>284</v>
      </c>
      <c r="Q127" s="71" t="s">
        <v>274</v>
      </c>
      <c r="R127" s="71" t="s">
        <v>274</v>
      </c>
      <c r="U127" s="75"/>
      <c r="W127" s="75"/>
      <c r="Y127" s="75"/>
      <c r="AC127" s="75"/>
      <c r="AE127" s="71" t="s">
        <v>208</v>
      </c>
      <c r="AF127" s="71" t="s">
        <v>239</v>
      </c>
      <c r="AG127" s="71" t="s">
        <v>204</v>
      </c>
      <c r="AH127" s="76" t="s">
        <v>217</v>
      </c>
      <c r="AK127" s="71" t="s">
        <v>200</v>
      </c>
      <c r="AL127" s="75" t="s">
        <v>201</v>
      </c>
      <c r="AM127" s="71"/>
      <c r="AN127" s="71"/>
      <c r="AO127" s="71"/>
      <c r="AP127" s="71"/>
      <c r="AQ127" s="71"/>
      <c r="AS127" s="71" t="s">
        <v>198</v>
      </c>
      <c r="AT127" s="75" t="s">
        <v>253</v>
      </c>
      <c r="AV127" s="75" t="s">
        <v>218</v>
      </c>
      <c r="AW127" s="75" t="s">
        <v>202</v>
      </c>
      <c r="AX127" s="75" t="str">
        <f t="shared" si="18"/>
        <v>MELISSA ANDREA LAITON GARNICA</v>
      </c>
      <c r="BA127" s="75" t="s">
        <v>209</v>
      </c>
      <c r="BB127" s="75" t="str">
        <f>VLOOKUP(A127,_p8_2025,2,FALSE)</f>
        <v>ESTEFANIA SANDOVAL CRUZ</v>
      </c>
      <c r="BE127" s="75" t="s">
        <v>194</v>
      </c>
      <c r="BF127" s="75" t="s">
        <v>195</v>
      </c>
      <c r="BI127" s="75" t="s">
        <v>206</v>
      </c>
      <c r="BJ127" s="75" t="s">
        <v>213</v>
      </c>
      <c r="BL127" s="75" t="s">
        <v>196</v>
      </c>
      <c r="BM127" s="75" t="s">
        <v>539</v>
      </c>
      <c r="BP127" s="73" t="s">
        <v>366</v>
      </c>
      <c r="BQ127" s="78" t="str">
        <f t="shared" si="6"/>
        <v>COM INV SST</v>
      </c>
      <c r="BR127" s="78" t="str">
        <f t="shared" si="14"/>
        <v>COM INV</v>
      </c>
      <c r="BS127" s="78" t="str">
        <f t="shared" si="16"/>
        <v>INV</v>
      </c>
      <c r="BT127" s="78" t="str">
        <f>VLOOKUP(A127,[2]Hoja1!$A$2:$B$123,2,FALSE)</f>
        <v>BIL</v>
      </c>
      <c r="BU127" s="71">
        <v>20</v>
      </c>
      <c r="BV127" s="71" t="s">
        <v>534</v>
      </c>
      <c r="BW127" s="81">
        <f>VLOOKUP(A127,[2]PE04!$A$7:$A$328,1,FALSE)</f>
        <v>3118493</v>
      </c>
      <c r="BX127" s="81" t="str">
        <f>IFERROR(VLOOKUP( 5,[2]PE04!A52:G379,8,FALSE), "No encontrado")</f>
        <v>No encontrado</v>
      </c>
    </row>
    <row r="128" spans="1:76" ht="13.5" customHeight="1" x14ac:dyDescent="0.25">
      <c r="A128" s="70">
        <v>3118494</v>
      </c>
      <c r="B128" s="71" t="s">
        <v>245</v>
      </c>
      <c r="C128" s="71">
        <v>42</v>
      </c>
      <c r="D128" s="72" t="s">
        <v>271</v>
      </c>
      <c r="E128" s="73" t="s">
        <v>116</v>
      </c>
      <c r="F128" s="74">
        <f t="shared" si="17"/>
        <v>46251</v>
      </c>
      <c r="G128" s="73" t="s">
        <v>117</v>
      </c>
      <c r="H128" s="73" t="s">
        <v>367</v>
      </c>
      <c r="J128" s="71" t="s">
        <v>226</v>
      </c>
      <c r="M128" s="70" t="s">
        <v>367</v>
      </c>
      <c r="N128" s="71" t="s">
        <v>365</v>
      </c>
      <c r="O128" s="71" t="s">
        <v>329</v>
      </c>
      <c r="P128" s="72" t="s">
        <v>367</v>
      </c>
      <c r="Q128" s="71" t="s">
        <v>274</v>
      </c>
      <c r="R128" s="71" t="s">
        <v>274</v>
      </c>
      <c r="U128" s="75"/>
      <c r="W128" s="75"/>
      <c r="Y128" s="75"/>
      <c r="AC128" s="75"/>
      <c r="AE128" s="71" t="s">
        <v>208</v>
      </c>
      <c r="AF128" s="71" t="s">
        <v>235</v>
      </c>
      <c r="AG128" s="71" t="s">
        <v>204</v>
      </c>
      <c r="AH128" s="76" t="s">
        <v>205</v>
      </c>
      <c r="AK128" s="71" t="s">
        <v>200</v>
      </c>
      <c r="AL128" s="75" t="s">
        <v>214</v>
      </c>
      <c r="AM128" s="71"/>
      <c r="AN128" s="71"/>
      <c r="AO128" s="71"/>
      <c r="AP128" s="71"/>
      <c r="AQ128" s="71"/>
      <c r="AS128" s="71" t="s">
        <v>198</v>
      </c>
      <c r="AT128" s="75" t="s">
        <v>225</v>
      </c>
      <c r="AV128" s="75" t="s">
        <v>218</v>
      </c>
      <c r="AW128" s="75" t="s">
        <v>202</v>
      </c>
      <c r="AX128" s="75" t="str">
        <f t="shared" si="18"/>
        <v>MELISSA ANDREA LAITON GARNICA</v>
      </c>
      <c r="BA128" s="75" t="s">
        <v>209</v>
      </c>
      <c r="BB128" s="75" t="str">
        <f>VLOOKUP(A128,_p8_2025,2,FALSE)</f>
        <v>ALBERTO ANTONIO TAPIA TORRES</v>
      </c>
      <c r="BE128" s="75" t="s">
        <v>194</v>
      </c>
      <c r="BF128" s="75" t="s">
        <v>195</v>
      </c>
      <c r="BI128" s="75" t="s">
        <v>206</v>
      </c>
      <c r="BJ128" s="75" t="s">
        <v>213</v>
      </c>
      <c r="BL128" s="75" t="s">
        <v>196</v>
      </c>
      <c r="BM128" s="75" t="s">
        <v>539</v>
      </c>
      <c r="BP128" s="73" t="s">
        <v>368</v>
      </c>
      <c r="BQ128" s="78" t="str">
        <f t="shared" si="6"/>
        <v>COM INV SST</v>
      </c>
      <c r="BR128" s="78" t="str">
        <f t="shared" si="14"/>
        <v>COM INV</v>
      </c>
      <c r="BS128" s="78" t="str">
        <f t="shared" si="16"/>
        <v>INV</v>
      </c>
      <c r="BT128" s="78" t="str">
        <f>VLOOKUP(A128,[2]Hoja1!$A$2:$B$123,2,FALSE)</f>
        <v>BIL</v>
      </c>
      <c r="BU128" s="71">
        <v>24</v>
      </c>
      <c r="BV128" s="71" t="s">
        <v>534</v>
      </c>
      <c r="BW128" s="81">
        <f>VLOOKUP(A128,[2]PE04!$A$7:$A$328,1,FALSE)</f>
        <v>3118494</v>
      </c>
      <c r="BX128" s="81" t="str">
        <f>IFERROR(VLOOKUP( 5,[2]PE04!A53:G380,8,FALSE), "No encontrado")</f>
        <v>No encontrado</v>
      </c>
    </row>
    <row r="129" spans="1:76" ht="13.5" customHeight="1" x14ac:dyDescent="0.25">
      <c r="A129" s="70">
        <v>3118495</v>
      </c>
      <c r="B129" s="71" t="s">
        <v>245</v>
      </c>
      <c r="C129" s="71">
        <v>39</v>
      </c>
      <c r="D129" s="72" t="s">
        <v>271</v>
      </c>
      <c r="E129" s="73" t="s">
        <v>116</v>
      </c>
      <c r="F129" s="74">
        <f t="shared" si="17"/>
        <v>46251</v>
      </c>
      <c r="G129" s="73" t="s">
        <v>117</v>
      </c>
      <c r="H129" s="73" t="s">
        <v>367</v>
      </c>
      <c r="J129" s="71" t="s">
        <v>226</v>
      </c>
      <c r="M129" s="70" t="s">
        <v>367</v>
      </c>
      <c r="N129" s="71" t="s">
        <v>369</v>
      </c>
      <c r="O129" s="71" t="s">
        <v>329</v>
      </c>
      <c r="P129" s="72" t="s">
        <v>367</v>
      </c>
      <c r="Q129" s="71" t="s">
        <v>274</v>
      </c>
      <c r="R129" s="71" t="s">
        <v>274</v>
      </c>
      <c r="U129" s="75"/>
      <c r="W129" s="75"/>
      <c r="Y129" s="75"/>
      <c r="AC129" s="75"/>
      <c r="AE129" s="71" t="s">
        <v>208</v>
      </c>
      <c r="AF129" s="71" t="s">
        <v>239</v>
      </c>
      <c r="AG129" s="71" t="s">
        <v>204</v>
      </c>
      <c r="AH129" s="76" t="s">
        <v>217</v>
      </c>
      <c r="AK129" s="71" t="s">
        <v>200</v>
      </c>
      <c r="AL129" s="75" t="s">
        <v>214</v>
      </c>
      <c r="AM129" s="71"/>
      <c r="AN129" s="71"/>
      <c r="AO129" s="71"/>
      <c r="AP129" s="71"/>
      <c r="AQ129" s="71"/>
      <c r="AS129" s="71" t="s">
        <v>198</v>
      </c>
      <c r="AT129" s="75" t="s">
        <v>299</v>
      </c>
      <c r="AV129" s="75" t="s">
        <v>218</v>
      </c>
      <c r="AW129" s="75" t="s">
        <v>202</v>
      </c>
      <c r="AX129" s="75" t="str">
        <f t="shared" si="18"/>
        <v>MELISSA ANDREA LAITON GARNICA</v>
      </c>
      <c r="BA129" s="75" t="s">
        <v>209</v>
      </c>
      <c r="BB129" s="75" t="str">
        <f>VLOOKUP(A129,_p8_2025,2,FALSE)</f>
        <v>LUIS ARTURO BASTIDAS</v>
      </c>
      <c r="BE129" s="75" t="s">
        <v>194</v>
      </c>
      <c r="BF129" s="75" t="s">
        <v>195</v>
      </c>
      <c r="BI129" s="75" t="s">
        <v>206</v>
      </c>
      <c r="BJ129" s="75" t="s">
        <v>213</v>
      </c>
      <c r="BL129" s="75" t="s">
        <v>196</v>
      </c>
      <c r="BM129" s="75" t="s">
        <v>539</v>
      </c>
      <c r="BP129" s="73" t="s">
        <v>368</v>
      </c>
      <c r="BQ129" s="78" t="str">
        <f t="shared" si="6"/>
        <v>COM INV SST</v>
      </c>
      <c r="BR129" s="78" t="str">
        <f t="shared" si="14"/>
        <v>COM INV</v>
      </c>
      <c r="BS129" s="78" t="str">
        <f t="shared" si="16"/>
        <v>INV</v>
      </c>
      <c r="BT129" s="78" t="e">
        <f>VLOOKUP(A129,[2]Hoja1!$A$2:$B$123,2,FALSE)</f>
        <v>#N/A</v>
      </c>
      <c r="BU129" s="71">
        <v>15</v>
      </c>
      <c r="BV129" s="71" t="s">
        <v>534</v>
      </c>
      <c r="BW129" s="81">
        <f>VLOOKUP(A129,[2]PE04!$A$7:$A$328,1,FALSE)</f>
        <v>3118495</v>
      </c>
      <c r="BX129" s="81" t="str">
        <f>IFERROR(VLOOKUP( 5,[2]PE04!A54:G381,8,FALSE), "No encontrado")</f>
        <v>No encontrado</v>
      </c>
    </row>
    <row r="130" spans="1:76" ht="13.5" customHeight="1" x14ac:dyDescent="0.25">
      <c r="A130" s="70">
        <v>3118496</v>
      </c>
      <c r="B130" s="71" t="s">
        <v>245</v>
      </c>
      <c r="C130" s="71">
        <v>42</v>
      </c>
      <c r="D130" s="72" t="s">
        <v>271</v>
      </c>
      <c r="E130" s="73" t="s">
        <v>116</v>
      </c>
      <c r="F130" s="74">
        <f t="shared" si="17"/>
        <v>46251</v>
      </c>
      <c r="G130" s="73" t="s">
        <v>117</v>
      </c>
      <c r="H130" s="73" t="s">
        <v>367</v>
      </c>
      <c r="J130" s="71" t="s">
        <v>226</v>
      </c>
      <c r="M130" s="70" t="s">
        <v>367</v>
      </c>
      <c r="N130" s="71" t="s">
        <v>369</v>
      </c>
      <c r="O130" s="71" t="s">
        <v>329</v>
      </c>
      <c r="P130" s="72" t="s">
        <v>367</v>
      </c>
      <c r="Q130" s="71" t="s">
        <v>274</v>
      </c>
      <c r="R130" s="71" t="s">
        <v>274</v>
      </c>
      <c r="U130" s="75"/>
      <c r="W130" s="75"/>
      <c r="Y130" s="75"/>
      <c r="AC130" s="75" t="s">
        <v>209</v>
      </c>
      <c r="AD130" s="71" t="s">
        <v>236</v>
      </c>
      <c r="AE130" s="71" t="s">
        <v>208</v>
      </c>
      <c r="AF130" s="71" t="s">
        <v>239</v>
      </c>
      <c r="AG130" s="71" t="s">
        <v>200</v>
      </c>
      <c r="AH130" s="76" t="s">
        <v>220</v>
      </c>
      <c r="AK130" s="71" t="s">
        <v>198</v>
      </c>
      <c r="AL130" s="75" t="s">
        <v>199</v>
      </c>
      <c r="AM130" s="71"/>
      <c r="AN130" s="71"/>
      <c r="AO130" s="71" t="s">
        <v>204</v>
      </c>
      <c r="AP130" s="71" t="s">
        <v>217</v>
      </c>
      <c r="AQ130" s="71"/>
      <c r="AS130" s="71" t="s">
        <v>194</v>
      </c>
      <c r="AT130" s="75" t="s">
        <v>195</v>
      </c>
      <c r="AV130" s="75" t="s">
        <v>218</v>
      </c>
      <c r="AW130" s="75" t="s">
        <v>202</v>
      </c>
      <c r="AX130" s="75" t="str">
        <f t="shared" si="18"/>
        <v>MELISSA ANDREA LAITON GARNICA</v>
      </c>
      <c r="BE130" s="75" t="s">
        <v>206</v>
      </c>
      <c r="BF130" s="75" t="s">
        <v>207</v>
      </c>
      <c r="BI130" s="75" t="s">
        <v>196</v>
      </c>
      <c r="BJ130" s="75" t="s">
        <v>267</v>
      </c>
      <c r="BL130" s="75" t="s">
        <v>254</v>
      </c>
      <c r="BM130" s="75" t="s">
        <v>255</v>
      </c>
      <c r="BP130" s="73" t="s">
        <v>368</v>
      </c>
      <c r="BQ130" s="78" t="str">
        <f t="shared" si="6"/>
        <v>COM INV</v>
      </c>
      <c r="BR130" s="78" t="str">
        <f t="shared" si="14"/>
        <v>INV</v>
      </c>
      <c r="BS130" s="78" t="str">
        <f t="shared" si="16"/>
        <v/>
      </c>
      <c r="BT130" s="78" t="e">
        <f>VLOOKUP(A130,[2]Hoja1!$A$2:$B$123,2,FALSE)</f>
        <v>#N/A</v>
      </c>
      <c r="BU130" s="71">
        <v>15</v>
      </c>
      <c r="BV130" s="71" t="s">
        <v>534</v>
      </c>
      <c r="BW130" s="81">
        <f>VLOOKUP(A130,[2]PE04!$A$7:$A$328,1,FALSE)</f>
        <v>3118496</v>
      </c>
      <c r="BX130" s="81" t="str">
        <f>IFERROR(VLOOKUP( 5,[2]PE04!A55:G382,8,FALSE), "No encontrado")</f>
        <v>No encontrado</v>
      </c>
    </row>
    <row r="131" spans="1:76" ht="13.5" customHeight="1" x14ac:dyDescent="0.25">
      <c r="A131" s="70">
        <v>3118497</v>
      </c>
      <c r="B131" s="71" t="s">
        <v>245</v>
      </c>
      <c r="C131" s="71">
        <v>40</v>
      </c>
      <c r="D131" s="72" t="s">
        <v>271</v>
      </c>
      <c r="E131" s="73" t="s">
        <v>116</v>
      </c>
      <c r="F131" s="74">
        <f t="shared" si="17"/>
        <v>46251</v>
      </c>
      <c r="G131" s="73" t="s">
        <v>117</v>
      </c>
      <c r="H131" s="73" t="s">
        <v>370</v>
      </c>
      <c r="J131" s="71" t="s">
        <v>226</v>
      </c>
      <c r="M131" s="70" t="s">
        <v>273</v>
      </c>
      <c r="N131" s="71" t="s">
        <v>369</v>
      </c>
      <c r="O131" s="71" t="s">
        <v>329</v>
      </c>
      <c r="P131" s="72" t="s">
        <v>273</v>
      </c>
      <c r="Q131" s="71" t="s">
        <v>274</v>
      </c>
      <c r="R131" s="71" t="s">
        <v>274</v>
      </c>
      <c r="U131" s="75"/>
      <c r="W131" s="75"/>
      <c r="Y131" s="75"/>
      <c r="AC131" s="75"/>
      <c r="AE131" s="71" t="s">
        <v>208</v>
      </c>
      <c r="AF131" s="71" t="s">
        <v>235</v>
      </c>
      <c r="AG131" s="71" t="s">
        <v>200</v>
      </c>
      <c r="AH131" s="76" t="s">
        <v>220</v>
      </c>
      <c r="AK131" s="71" t="s">
        <v>198</v>
      </c>
      <c r="AL131" s="75" t="s">
        <v>253</v>
      </c>
      <c r="AM131" s="71"/>
      <c r="AN131" s="71"/>
      <c r="AO131" s="71" t="s">
        <v>204</v>
      </c>
      <c r="AP131" s="71" t="s">
        <v>205</v>
      </c>
      <c r="AQ131" s="71"/>
      <c r="AS131" s="71" t="s">
        <v>209</v>
      </c>
      <c r="AT131" s="75" t="s">
        <v>228</v>
      </c>
      <c r="AV131" s="75" t="s">
        <v>218</v>
      </c>
      <c r="AW131" s="75" t="s">
        <v>202</v>
      </c>
      <c r="AX131" s="75" t="str">
        <f t="shared" si="18"/>
        <v>CHRISTIAN CAMILO RODRIGUEZ SALAS</v>
      </c>
      <c r="BA131" s="75" t="s">
        <v>194</v>
      </c>
      <c r="BB131" s="75" t="str">
        <f>VLOOKUP(A131,_p8_2025,2,FALSE)</f>
        <v>CAMILO ERNESTO CALDERON GALINDO</v>
      </c>
      <c r="BE131" s="75" t="s">
        <v>206</v>
      </c>
      <c r="BF131" s="75" t="s">
        <v>207</v>
      </c>
      <c r="BI131" s="75" t="s">
        <v>196</v>
      </c>
      <c r="BJ131" s="75" t="s">
        <v>267</v>
      </c>
      <c r="BL131" s="75" t="s">
        <v>254</v>
      </c>
      <c r="BM131" s="75" t="s">
        <v>255</v>
      </c>
      <c r="BP131" s="73" t="s">
        <v>368</v>
      </c>
      <c r="BQ131" s="78" t="str">
        <f t="shared" si="6"/>
        <v>COM INV</v>
      </c>
      <c r="BR131" s="78" t="str">
        <f t="shared" si="14"/>
        <v>INV</v>
      </c>
      <c r="BS131" s="78" t="str">
        <f t="shared" si="16"/>
        <v/>
      </c>
      <c r="BT131" s="78" t="str">
        <f>VLOOKUP(A131,[2]Hoja1!$A$2:$B$123,2,FALSE)</f>
        <v>BIL</v>
      </c>
      <c r="BU131" s="71">
        <v>13</v>
      </c>
      <c r="BV131" s="71" t="s">
        <v>534</v>
      </c>
      <c r="BW131" s="81">
        <f>VLOOKUP(A131,[2]PE04!$A$7:$A$328,1,FALSE)</f>
        <v>3118497</v>
      </c>
      <c r="BX131" s="81" t="str">
        <f>IFERROR(VLOOKUP( 5,[2]PE04!A56:G383,8,FALSE), "No encontrado")</f>
        <v>No encontrado</v>
      </c>
    </row>
    <row r="132" spans="1:76" ht="13.5" customHeight="1" x14ac:dyDescent="0.25">
      <c r="A132" s="70">
        <v>3118498</v>
      </c>
      <c r="B132" s="71" t="s">
        <v>245</v>
      </c>
      <c r="C132" s="71">
        <v>43</v>
      </c>
      <c r="D132" s="72" t="s">
        <v>271</v>
      </c>
      <c r="E132" s="73" t="s">
        <v>116</v>
      </c>
      <c r="F132" s="74">
        <f t="shared" si="17"/>
        <v>46251</v>
      </c>
      <c r="G132" s="73" t="s">
        <v>117</v>
      </c>
      <c r="H132" s="73" t="s">
        <v>370</v>
      </c>
      <c r="J132" s="71" t="s">
        <v>226</v>
      </c>
      <c r="M132" s="70" t="s">
        <v>273</v>
      </c>
      <c r="N132" s="71" t="s">
        <v>281</v>
      </c>
      <c r="O132" s="71" t="s">
        <v>329</v>
      </c>
      <c r="P132" s="72" t="s">
        <v>273</v>
      </c>
      <c r="Q132" s="71" t="s">
        <v>274</v>
      </c>
      <c r="R132" s="71" t="s">
        <v>274</v>
      </c>
      <c r="U132" s="75"/>
      <c r="W132" s="75"/>
      <c r="Y132" s="75"/>
      <c r="AC132" s="75" t="s">
        <v>204</v>
      </c>
      <c r="AD132" s="71" t="s">
        <v>205</v>
      </c>
      <c r="AE132" s="71" t="s">
        <v>208</v>
      </c>
      <c r="AF132" s="71" t="s">
        <v>239</v>
      </c>
      <c r="AG132" s="71" t="s">
        <v>209</v>
      </c>
      <c r="AH132" s="76" t="s">
        <v>226</v>
      </c>
      <c r="AK132" s="71" t="s">
        <v>200</v>
      </c>
      <c r="AL132" s="75" t="s">
        <v>201</v>
      </c>
      <c r="AM132" s="71"/>
      <c r="AN132" s="71"/>
      <c r="AO132" s="71"/>
      <c r="AP132" s="71"/>
      <c r="AQ132" s="71"/>
      <c r="AS132" s="71" t="s">
        <v>198</v>
      </c>
      <c r="AT132" s="75" t="s">
        <v>299</v>
      </c>
      <c r="AV132" s="75" t="s">
        <v>218</v>
      </c>
      <c r="AW132" s="75" t="s">
        <v>196</v>
      </c>
      <c r="AX132" s="75" t="str">
        <f t="shared" si="18"/>
        <v>JORGE ARMANDO PIEDRAHITA</v>
      </c>
      <c r="BE132" s="75" t="s">
        <v>206</v>
      </c>
      <c r="BF132" s="75" t="s">
        <v>207</v>
      </c>
      <c r="BL132" s="75" t="s">
        <v>194</v>
      </c>
      <c r="BM132" s="75" t="s">
        <v>545</v>
      </c>
      <c r="BP132" s="73" t="s">
        <v>553</v>
      </c>
      <c r="BQ132" s="78" t="str">
        <f t="shared" si="6"/>
        <v>INV FIS CUL</v>
      </c>
      <c r="BR132" s="78" t="str">
        <f t="shared" si="14"/>
        <v>INV FIS CUL</v>
      </c>
      <c r="BS132" s="78" t="str">
        <f t="shared" si="16"/>
        <v>INV CUL</v>
      </c>
      <c r="BT132" s="78" t="str">
        <f>VLOOKUP(A132,[2]Hoja1!$A$2:$B$123,2,FALSE)</f>
        <v>BIL</v>
      </c>
      <c r="BU132" s="71">
        <v>15</v>
      </c>
      <c r="BV132" s="71" t="s">
        <v>534</v>
      </c>
      <c r="BW132" s="81">
        <f>VLOOKUP(A132,[2]PE04!$A$7:$A$328,1,FALSE)</f>
        <v>3118498</v>
      </c>
      <c r="BX132" s="81" t="str">
        <f>IFERROR(VLOOKUP( 5,[2]PE04!A57:G384,8,FALSE), "No encontrado")</f>
        <v>No encontrado</v>
      </c>
    </row>
    <row r="133" spans="1:76" ht="13.5" customHeight="1" x14ac:dyDescent="0.25">
      <c r="A133" s="70">
        <v>3118499</v>
      </c>
      <c r="B133" s="71" t="s">
        <v>245</v>
      </c>
      <c r="C133" s="71">
        <v>39</v>
      </c>
      <c r="D133" s="72" t="s">
        <v>271</v>
      </c>
      <c r="E133" s="73" t="s">
        <v>116</v>
      </c>
      <c r="F133" s="74">
        <f t="shared" si="17"/>
        <v>46251</v>
      </c>
      <c r="G133" s="73" t="s">
        <v>117</v>
      </c>
      <c r="H133" s="73" t="s">
        <v>370</v>
      </c>
      <c r="J133" s="71" t="s">
        <v>226</v>
      </c>
      <c r="M133" s="70" t="s">
        <v>273</v>
      </c>
      <c r="N133" s="71" t="s">
        <v>281</v>
      </c>
      <c r="O133" s="71" t="s">
        <v>329</v>
      </c>
      <c r="P133" s="72" t="s">
        <v>273</v>
      </c>
      <c r="Q133" s="71" t="s">
        <v>274</v>
      </c>
      <c r="R133" s="71" t="s">
        <v>274</v>
      </c>
      <c r="U133" s="75"/>
      <c r="W133" s="75"/>
      <c r="Y133" s="75"/>
      <c r="AC133" s="75" t="s">
        <v>204</v>
      </c>
      <c r="AD133" s="71" t="s">
        <v>221</v>
      </c>
      <c r="AE133" s="71" t="s">
        <v>208</v>
      </c>
      <c r="AF133" s="71" t="s">
        <v>235</v>
      </c>
      <c r="AG133" s="71" t="s">
        <v>209</v>
      </c>
      <c r="AH133" s="76" t="s">
        <v>228</v>
      </c>
      <c r="AK133" s="71" t="s">
        <v>200</v>
      </c>
      <c r="AL133" s="75" t="s">
        <v>220</v>
      </c>
      <c r="AM133" s="71"/>
      <c r="AN133" s="71"/>
      <c r="AO133" s="71"/>
      <c r="AP133" s="71"/>
      <c r="AQ133" s="71"/>
      <c r="AS133" s="71" t="s">
        <v>198</v>
      </c>
      <c r="AT133" s="75" t="s">
        <v>299</v>
      </c>
      <c r="AV133" s="75" t="s">
        <v>218</v>
      </c>
      <c r="AW133" s="75" t="s">
        <v>196</v>
      </c>
      <c r="AX133" s="75" t="str">
        <f t="shared" si="18"/>
        <v>CESAR AUGUSTO BERMEO</v>
      </c>
      <c r="BE133" s="75" t="s">
        <v>206</v>
      </c>
      <c r="BF133" s="75" t="s">
        <v>207</v>
      </c>
      <c r="BL133" s="75" t="s">
        <v>194</v>
      </c>
      <c r="BM133" s="75" t="s">
        <v>545</v>
      </c>
      <c r="BP133" s="73" t="s">
        <v>372</v>
      </c>
      <c r="BQ133" s="78" t="str">
        <f t="shared" si="6"/>
        <v>INV FIS CUL</v>
      </c>
      <c r="BR133" s="78" t="str">
        <f t="shared" si="14"/>
        <v>INV FIS CUL</v>
      </c>
      <c r="BS133" s="78" t="str">
        <f t="shared" si="16"/>
        <v>INV CUL</v>
      </c>
      <c r="BT133" s="78" t="str">
        <f>VLOOKUP(A133,[2]Hoja1!$A$2:$B$123,2,FALSE)</f>
        <v>BIL</v>
      </c>
      <c r="BU133" s="71">
        <v>15</v>
      </c>
      <c r="BV133" s="71" t="s">
        <v>534</v>
      </c>
      <c r="BW133" s="81">
        <f>VLOOKUP(A133,[2]PE04!$A$7:$A$328,1,FALSE)</f>
        <v>3118499</v>
      </c>
      <c r="BX133" s="81" t="str">
        <f>IFERROR(VLOOKUP( 5,[2]PE04!A58:G385,8,FALSE), "No encontrado")</f>
        <v>No encontrado</v>
      </c>
    </row>
    <row r="134" spans="1:76" ht="13.5" customHeight="1" x14ac:dyDescent="0.25">
      <c r="A134" s="70">
        <v>3118500</v>
      </c>
      <c r="B134" s="71" t="s">
        <v>245</v>
      </c>
      <c r="C134" s="71">
        <v>40</v>
      </c>
      <c r="D134" s="72" t="s">
        <v>101</v>
      </c>
      <c r="E134" s="73" t="s">
        <v>116</v>
      </c>
      <c r="F134" s="74">
        <f t="shared" si="17"/>
        <v>46251</v>
      </c>
      <c r="G134" s="73" t="s">
        <v>117</v>
      </c>
      <c r="H134" s="73" t="s">
        <v>362</v>
      </c>
      <c r="J134" s="71" t="s">
        <v>227</v>
      </c>
      <c r="M134" s="70" t="s">
        <v>362</v>
      </c>
      <c r="O134" s="71" t="s">
        <v>233</v>
      </c>
      <c r="P134" s="72" t="s">
        <v>362</v>
      </c>
      <c r="Q134" s="71" t="s">
        <v>297</v>
      </c>
      <c r="R134" s="71" t="s">
        <v>297</v>
      </c>
      <c r="U134" s="75"/>
      <c r="W134" s="75"/>
      <c r="Y134" s="75"/>
      <c r="AC134" s="75" t="s">
        <v>254</v>
      </c>
      <c r="AD134" s="71" t="s">
        <v>255</v>
      </c>
      <c r="AE134" s="71" t="s">
        <v>204</v>
      </c>
      <c r="AF134" s="71" t="s">
        <v>221</v>
      </c>
      <c r="AG134" s="71" t="s">
        <v>208</v>
      </c>
      <c r="AH134" s="76" t="s">
        <v>235</v>
      </c>
      <c r="AK134" s="71" t="s">
        <v>196</v>
      </c>
      <c r="AL134" s="75" t="s">
        <v>281</v>
      </c>
      <c r="AM134" s="71"/>
      <c r="AN134" s="71"/>
      <c r="AO134" s="71"/>
      <c r="AP134" s="71"/>
      <c r="AQ134" s="71"/>
      <c r="AS134" s="71" t="s">
        <v>198</v>
      </c>
      <c r="AT134" s="75" t="s">
        <v>199</v>
      </c>
      <c r="AV134" s="75" t="s">
        <v>218</v>
      </c>
      <c r="AW134" s="75" t="s">
        <v>200</v>
      </c>
      <c r="AX134" s="75" t="str">
        <f t="shared" si="18"/>
        <v>JULIANA HERNANDEZ BARRERA</v>
      </c>
      <c r="BA134" s="75" t="s">
        <v>209</v>
      </c>
      <c r="BB134" s="75" t="str">
        <f t="shared" ref="BB134:BB141" si="19">VLOOKUP(A134,_p8_2025,2,FALSE)</f>
        <v>ALBERTO ANTONIO TAPIA TORRES</v>
      </c>
      <c r="BE134" s="75" t="s">
        <v>206</v>
      </c>
      <c r="BF134" s="75" t="s">
        <v>207</v>
      </c>
      <c r="BI134" s="75" t="s">
        <v>242</v>
      </c>
      <c r="BJ134" s="75" t="s">
        <v>243</v>
      </c>
      <c r="BL134" s="75" t="s">
        <v>202</v>
      </c>
      <c r="BM134" s="75" t="s">
        <v>216</v>
      </c>
      <c r="BP134" s="73" t="s">
        <v>373</v>
      </c>
      <c r="BQ134" s="78" t="str">
        <f t="shared" si="6"/>
        <v>CIE CUL</v>
      </c>
      <c r="BR134" s="78" t="str">
        <f t="shared" si="14"/>
        <v>CUL</v>
      </c>
      <c r="BS134" s="78" t="str">
        <f t="shared" si="16"/>
        <v/>
      </c>
      <c r="BT134" s="78" t="str">
        <f>VLOOKUP(A134,[2]Hoja1!$A$2:$B$123,2,FALSE)</f>
        <v>BIL</v>
      </c>
      <c r="BU134" s="71">
        <v>22</v>
      </c>
      <c r="BV134" s="71" t="s">
        <v>534</v>
      </c>
      <c r="BW134" s="81">
        <f>VLOOKUP(A134,[2]PE04!$A$7:$A$328,1,FALSE)</f>
        <v>3118500</v>
      </c>
      <c r="BX134" s="81" t="str">
        <f>IFERROR(VLOOKUP( 5,[2]PE04!A59:G386,8,FALSE), "No encontrado")</f>
        <v>No encontrado</v>
      </c>
    </row>
    <row r="135" spans="1:76" ht="13.5" customHeight="1" x14ac:dyDescent="0.25">
      <c r="A135" s="70">
        <v>3118501</v>
      </c>
      <c r="B135" s="71" t="s">
        <v>245</v>
      </c>
      <c r="C135" s="71">
        <v>39</v>
      </c>
      <c r="D135" s="72" t="s">
        <v>101</v>
      </c>
      <c r="E135" s="73" t="s">
        <v>116</v>
      </c>
      <c r="F135" s="74">
        <f t="shared" si="17"/>
        <v>46251</v>
      </c>
      <c r="G135" s="73" t="s">
        <v>117</v>
      </c>
      <c r="H135" s="73" t="s">
        <v>362</v>
      </c>
      <c r="J135" s="71" t="s">
        <v>227</v>
      </c>
      <c r="M135" s="70" t="s">
        <v>362</v>
      </c>
      <c r="O135" s="71" t="s">
        <v>233</v>
      </c>
      <c r="P135" s="72" t="s">
        <v>362</v>
      </c>
      <c r="Q135" s="71" t="s">
        <v>297</v>
      </c>
      <c r="R135" s="71" t="s">
        <v>297</v>
      </c>
      <c r="U135" s="75"/>
      <c r="W135" s="75"/>
      <c r="Y135" s="75"/>
      <c r="AC135" s="75" t="s">
        <v>254</v>
      </c>
      <c r="AD135" s="71" t="s">
        <v>255</v>
      </c>
      <c r="AE135" s="71" t="s">
        <v>204</v>
      </c>
      <c r="AF135" s="71" t="s">
        <v>205</v>
      </c>
      <c r="AG135" s="71" t="s">
        <v>208</v>
      </c>
      <c r="AH135" s="76" t="s">
        <v>235</v>
      </c>
      <c r="AK135" s="71" t="s">
        <v>196</v>
      </c>
      <c r="AL135" s="75" t="s">
        <v>267</v>
      </c>
      <c r="AM135" s="71"/>
      <c r="AN135" s="71"/>
      <c r="AO135" s="71"/>
      <c r="AP135" s="71"/>
      <c r="AQ135" s="71"/>
      <c r="AS135" s="71" t="s">
        <v>198</v>
      </c>
      <c r="AT135" s="75" t="s">
        <v>225</v>
      </c>
      <c r="AV135" s="75" t="s">
        <v>218</v>
      </c>
      <c r="AW135" s="75" t="s">
        <v>200</v>
      </c>
      <c r="AX135" s="75" t="str">
        <f t="shared" si="18"/>
        <v>JULIANA HERNANDEZ BARRERA</v>
      </c>
      <c r="BA135" s="75" t="s">
        <v>209</v>
      </c>
      <c r="BB135" s="75" t="str">
        <f t="shared" si="19"/>
        <v>ESTEFANIA SANDOVAL CRUZ</v>
      </c>
      <c r="BI135" s="75" t="s">
        <v>242</v>
      </c>
      <c r="BJ135" s="75" t="s">
        <v>243</v>
      </c>
      <c r="BL135" s="75" t="s">
        <v>206</v>
      </c>
      <c r="BM135" s="75" t="s">
        <v>207</v>
      </c>
      <c r="BP135" s="73" t="s">
        <v>373</v>
      </c>
      <c r="BQ135" s="78" t="str">
        <f t="shared" si="6"/>
        <v>CIE SST CUL</v>
      </c>
      <c r="BR135" s="78" t="str">
        <f t="shared" si="14"/>
        <v>SST CUL</v>
      </c>
      <c r="BS135" s="78" t="str">
        <f t="shared" si="16"/>
        <v>CUL</v>
      </c>
      <c r="BT135" s="78" t="str">
        <f>VLOOKUP(A135,[2]Hoja1!$A$2:$B$123,2,FALSE)</f>
        <v>BIL</v>
      </c>
      <c r="BU135" s="71">
        <v>14</v>
      </c>
      <c r="BV135" s="71" t="s">
        <v>534</v>
      </c>
      <c r="BW135" s="81">
        <f>VLOOKUP(A135,[2]PE04!$A$7:$A$328,1,FALSE)</f>
        <v>3118501</v>
      </c>
      <c r="BX135" s="81" t="str">
        <f>IFERROR(VLOOKUP( 5,[2]PE04!A60:G387,8,FALSE), "No encontrado")</f>
        <v>No encontrado</v>
      </c>
    </row>
    <row r="136" spans="1:76" ht="13.5" customHeight="1" x14ac:dyDescent="0.25">
      <c r="A136" s="70">
        <v>3118502</v>
      </c>
      <c r="B136" s="71" t="s">
        <v>245</v>
      </c>
      <c r="C136" s="71">
        <v>42</v>
      </c>
      <c r="D136" s="72" t="s">
        <v>101</v>
      </c>
      <c r="E136" s="73" t="s">
        <v>116</v>
      </c>
      <c r="F136" s="74">
        <f t="shared" si="17"/>
        <v>46251</v>
      </c>
      <c r="G136" s="73" t="s">
        <v>117</v>
      </c>
      <c r="H136" s="73" t="s">
        <v>345</v>
      </c>
      <c r="J136" s="71" t="s">
        <v>227</v>
      </c>
      <c r="M136" s="70" t="s">
        <v>347</v>
      </c>
      <c r="O136" s="71" t="s">
        <v>233</v>
      </c>
      <c r="P136" s="72" t="s">
        <v>314</v>
      </c>
      <c r="Q136" s="71" t="s">
        <v>297</v>
      </c>
      <c r="R136" s="71" t="s">
        <v>297</v>
      </c>
      <c r="U136" s="75"/>
      <c r="W136" s="75"/>
      <c r="Y136" s="75"/>
      <c r="AC136" s="75" t="s">
        <v>254</v>
      </c>
      <c r="AD136" s="71" t="s">
        <v>255</v>
      </c>
      <c r="AE136" s="71" t="s">
        <v>204</v>
      </c>
      <c r="AF136" s="71" t="s">
        <v>205</v>
      </c>
      <c r="AG136" s="71" t="s">
        <v>208</v>
      </c>
      <c r="AH136" s="76" t="s">
        <v>278</v>
      </c>
      <c r="AK136" s="71" t="s">
        <v>196</v>
      </c>
      <c r="AL136" s="75" t="s">
        <v>267</v>
      </c>
      <c r="AM136" s="71"/>
      <c r="AN136" s="71"/>
      <c r="AO136" s="71"/>
      <c r="AP136" s="71"/>
      <c r="AQ136" s="71"/>
      <c r="AS136" s="71" t="s">
        <v>198</v>
      </c>
      <c r="AT136" s="75" t="s">
        <v>199</v>
      </c>
      <c r="AV136" s="75" t="s">
        <v>218</v>
      </c>
      <c r="AW136" s="75" t="s">
        <v>200</v>
      </c>
      <c r="AX136" s="75" t="str">
        <f t="shared" si="18"/>
        <v>WILDER JULIAN ARIAS HERNANDEZ</v>
      </c>
      <c r="BA136" s="75" t="s">
        <v>242</v>
      </c>
      <c r="BB136" s="75" t="str">
        <f t="shared" si="19"/>
        <v>LAURA SOFIA PAEZ GALLO</v>
      </c>
      <c r="BE136" s="75" t="s">
        <v>206</v>
      </c>
      <c r="BF136" s="75" t="s">
        <v>213</v>
      </c>
      <c r="BI136" s="75" t="s">
        <v>209</v>
      </c>
      <c r="BJ136" s="75" t="s">
        <v>554</v>
      </c>
      <c r="BL136" s="75" t="s">
        <v>202</v>
      </c>
      <c r="BM136" s="75" t="s">
        <v>203</v>
      </c>
      <c r="BP136" s="73" t="s">
        <v>374</v>
      </c>
      <c r="BQ136" s="78" t="str">
        <f t="shared" si="6"/>
        <v>EMP CUL</v>
      </c>
      <c r="BR136" s="78" t="str">
        <f t="shared" si="14"/>
        <v>CUL</v>
      </c>
      <c r="BS136" s="78" t="str">
        <f t="shared" si="16"/>
        <v/>
      </c>
      <c r="BT136" s="78" t="str">
        <f>VLOOKUP(A136,[2]Hoja1!$A$2:$B$123,2,FALSE)</f>
        <v>BIL</v>
      </c>
      <c r="BU136" s="71">
        <v>12</v>
      </c>
      <c r="BV136" s="71" t="s">
        <v>534</v>
      </c>
      <c r="BW136" s="81">
        <f>VLOOKUP(A136,[2]PE04!$A$7:$A$328,1,FALSE)</f>
        <v>3118502</v>
      </c>
      <c r="BX136" s="81" t="str">
        <f>IFERROR(VLOOKUP( 5,[2]PE04!A61:G388,8,FALSE), "No encontrado")</f>
        <v>No encontrado</v>
      </c>
    </row>
    <row r="137" spans="1:76" ht="13.5" customHeight="1" x14ac:dyDescent="0.25">
      <c r="A137" s="70">
        <v>3118503</v>
      </c>
      <c r="B137" s="71" t="s">
        <v>245</v>
      </c>
      <c r="C137" s="71">
        <v>45</v>
      </c>
      <c r="D137" s="72" t="s">
        <v>101</v>
      </c>
      <c r="E137" s="73" t="s">
        <v>116</v>
      </c>
      <c r="F137" s="74">
        <f t="shared" si="17"/>
        <v>46251</v>
      </c>
      <c r="G137" s="73" t="s">
        <v>117</v>
      </c>
      <c r="H137" s="73" t="s">
        <v>345</v>
      </c>
      <c r="J137" s="71" t="s">
        <v>227</v>
      </c>
      <c r="M137" s="70" t="s">
        <v>347</v>
      </c>
      <c r="O137" s="71" t="s">
        <v>233</v>
      </c>
      <c r="P137" s="72" t="s">
        <v>567</v>
      </c>
      <c r="Q137" s="71" t="s">
        <v>297</v>
      </c>
      <c r="R137" s="71" t="s">
        <v>297</v>
      </c>
      <c r="U137" s="75"/>
      <c r="W137" s="75"/>
      <c r="Y137" s="75"/>
      <c r="AC137" s="75" t="s">
        <v>254</v>
      </c>
      <c r="AD137" s="71" t="s">
        <v>255</v>
      </c>
      <c r="AE137" s="71" t="s">
        <v>204</v>
      </c>
      <c r="AF137" s="71" t="s">
        <v>205</v>
      </c>
      <c r="AG137" s="71" t="s">
        <v>208</v>
      </c>
      <c r="AH137" s="76" t="s">
        <v>235</v>
      </c>
      <c r="AK137" s="71" t="s">
        <v>196</v>
      </c>
      <c r="AL137" s="75" t="s">
        <v>281</v>
      </c>
      <c r="AM137" s="71"/>
      <c r="AN137" s="71"/>
      <c r="AO137" s="71" t="s">
        <v>198</v>
      </c>
      <c r="AP137" s="71" t="s">
        <v>299</v>
      </c>
      <c r="AQ137" s="71"/>
      <c r="AS137" s="71" t="s">
        <v>209</v>
      </c>
      <c r="AT137" s="75" t="s">
        <v>228</v>
      </c>
      <c r="AV137" s="75" t="s">
        <v>218</v>
      </c>
      <c r="AW137" s="75" t="s">
        <v>200</v>
      </c>
      <c r="AX137" s="75" t="str">
        <f t="shared" si="18"/>
        <v>JULIANA HERNANDEZ BARRERA</v>
      </c>
      <c r="BA137" s="75" t="s">
        <v>242</v>
      </c>
      <c r="BB137" s="75" t="str">
        <f t="shared" si="19"/>
        <v>LAURA SOFIA PAEZ GALLO</v>
      </c>
      <c r="BE137" s="75" t="s">
        <v>206</v>
      </c>
      <c r="BF137" s="75" t="s">
        <v>213</v>
      </c>
      <c r="BI137" s="75" t="s">
        <v>202</v>
      </c>
      <c r="BJ137" s="75" t="s">
        <v>216</v>
      </c>
      <c r="BP137" s="73" t="s">
        <v>375</v>
      </c>
      <c r="BQ137" s="78" t="str">
        <f t="shared" si="6"/>
        <v>CUL</v>
      </c>
      <c r="BR137" s="78" t="str">
        <f t="shared" si="14"/>
        <v/>
      </c>
      <c r="BS137" s="78" t="str">
        <f t="shared" si="16"/>
        <v/>
      </c>
      <c r="BT137" s="78" t="str">
        <f>VLOOKUP(A137,[2]Hoja1!$A$2:$B$123,2,FALSE)</f>
        <v>BIL</v>
      </c>
      <c r="BU137" s="71">
        <v>7</v>
      </c>
      <c r="BV137" s="71" t="s">
        <v>534</v>
      </c>
      <c r="BW137" s="81">
        <f>VLOOKUP(A137,[2]PE04!$A$7:$A$328,1,FALSE)</f>
        <v>3118503</v>
      </c>
      <c r="BX137" s="81" t="str">
        <f>IFERROR(VLOOKUP( 5,[2]PE04!A62:G389,8,FALSE), "No encontrado")</f>
        <v>No encontrado</v>
      </c>
    </row>
    <row r="138" spans="1:76" ht="13.5" customHeight="1" x14ac:dyDescent="0.25">
      <c r="A138" s="70">
        <v>3118504</v>
      </c>
      <c r="B138" s="71" t="s">
        <v>245</v>
      </c>
      <c r="C138" s="71">
        <v>40</v>
      </c>
      <c r="D138" s="72" t="s">
        <v>101</v>
      </c>
      <c r="E138" s="73" t="s">
        <v>116</v>
      </c>
      <c r="F138" s="74">
        <f t="shared" si="17"/>
        <v>46251</v>
      </c>
      <c r="G138" s="73" t="s">
        <v>117</v>
      </c>
      <c r="H138" s="73" t="s">
        <v>345</v>
      </c>
      <c r="J138" s="71" t="s">
        <v>227</v>
      </c>
      <c r="M138" s="70" t="s">
        <v>347</v>
      </c>
      <c r="O138" s="71" t="s">
        <v>233</v>
      </c>
      <c r="P138" s="72" t="s">
        <v>567</v>
      </c>
      <c r="Q138" s="71" t="s">
        <v>297</v>
      </c>
      <c r="R138" s="71" t="s">
        <v>297</v>
      </c>
      <c r="U138" s="75"/>
      <c r="W138" s="75"/>
      <c r="Y138" s="75"/>
      <c r="AC138" s="75" t="s">
        <v>254</v>
      </c>
      <c r="AD138" s="71" t="s">
        <v>255</v>
      </c>
      <c r="AE138" s="71" t="s">
        <v>204</v>
      </c>
      <c r="AF138" s="71" t="s">
        <v>221</v>
      </c>
      <c r="AG138" s="71" t="s">
        <v>208</v>
      </c>
      <c r="AH138" s="76" t="s">
        <v>235</v>
      </c>
      <c r="AK138" s="71" t="s">
        <v>196</v>
      </c>
      <c r="AL138" s="75" t="s">
        <v>281</v>
      </c>
      <c r="AM138" s="71"/>
      <c r="AN138" s="71"/>
      <c r="AO138" s="71" t="s">
        <v>198</v>
      </c>
      <c r="AP138" s="71" t="s">
        <v>225</v>
      </c>
      <c r="AQ138" s="71"/>
      <c r="AS138" s="71" t="s">
        <v>209</v>
      </c>
      <c r="AT138" s="75" t="s">
        <v>226</v>
      </c>
      <c r="AV138" s="75" t="s">
        <v>218</v>
      </c>
      <c r="AW138" s="75" t="s">
        <v>200</v>
      </c>
      <c r="AX138" s="75" t="str">
        <f t="shared" si="18"/>
        <v>ELKIN DURAN MANCIPE</v>
      </c>
      <c r="BA138" s="75" t="s">
        <v>242</v>
      </c>
      <c r="BB138" s="75" t="str">
        <f t="shared" si="19"/>
        <v>LAURA SOFIA PAEZ GALLO</v>
      </c>
      <c r="BI138" s="75" t="s">
        <v>206</v>
      </c>
      <c r="BJ138" s="75" t="s">
        <v>227</v>
      </c>
      <c r="BL138" s="75" t="s">
        <v>202</v>
      </c>
      <c r="BM138" s="75" t="s">
        <v>203</v>
      </c>
      <c r="BP138" s="73" t="s">
        <v>376</v>
      </c>
      <c r="BQ138" s="78" t="str">
        <f t="shared" si="6"/>
        <v>SST CUL</v>
      </c>
      <c r="BR138" s="78" t="str">
        <f t="shared" si="14"/>
        <v>CUL</v>
      </c>
      <c r="BS138" s="78" t="str">
        <f t="shared" si="16"/>
        <v/>
      </c>
      <c r="BT138" s="78" t="str">
        <f>VLOOKUP(A138,[2]Hoja1!$A$2:$B$123,2,FALSE)</f>
        <v>BIL</v>
      </c>
      <c r="BU138" s="71">
        <v>14</v>
      </c>
      <c r="BV138" s="71" t="s">
        <v>534</v>
      </c>
      <c r="BW138" s="81">
        <f>VLOOKUP(A138,[2]PE04!$A$7:$A$328,1,FALSE)</f>
        <v>3118504</v>
      </c>
      <c r="BX138" s="81" t="str">
        <f>IFERROR(VLOOKUP( 5,[2]PE04!A63:G390,8,FALSE), "No encontrado")</f>
        <v>No encontrado</v>
      </c>
    </row>
    <row r="139" spans="1:76" ht="13.5" customHeight="1" x14ac:dyDescent="0.25">
      <c r="A139" s="70">
        <v>3118505</v>
      </c>
      <c r="B139" s="71" t="s">
        <v>245</v>
      </c>
      <c r="C139" s="71">
        <v>41</v>
      </c>
      <c r="D139" s="72" t="s">
        <v>101</v>
      </c>
      <c r="E139" s="73" t="s">
        <v>116</v>
      </c>
      <c r="F139" s="74">
        <f t="shared" si="17"/>
        <v>46251</v>
      </c>
      <c r="G139" s="73" t="s">
        <v>117</v>
      </c>
      <c r="H139" s="73" t="s">
        <v>340</v>
      </c>
      <c r="J139" s="71" t="s">
        <v>227</v>
      </c>
      <c r="L139" s="71" t="s">
        <v>340</v>
      </c>
      <c r="M139" s="70" t="s">
        <v>377</v>
      </c>
      <c r="O139" s="71" t="s">
        <v>233</v>
      </c>
      <c r="P139" s="72" t="s">
        <v>211</v>
      </c>
      <c r="Q139" s="71" t="s">
        <v>297</v>
      </c>
      <c r="R139" s="71" t="s">
        <v>297</v>
      </c>
      <c r="U139" s="75"/>
      <c r="W139" s="75"/>
      <c r="Y139" s="75"/>
      <c r="AC139" s="75" t="s">
        <v>254</v>
      </c>
      <c r="AD139" s="71" t="s">
        <v>255</v>
      </c>
      <c r="AE139" s="71" t="s">
        <v>204</v>
      </c>
      <c r="AF139" s="71" t="s">
        <v>221</v>
      </c>
      <c r="AG139" s="71" t="s">
        <v>208</v>
      </c>
      <c r="AH139" s="76" t="s">
        <v>239</v>
      </c>
      <c r="AK139" s="71" t="s">
        <v>196</v>
      </c>
      <c r="AL139" s="75" t="s">
        <v>267</v>
      </c>
      <c r="AM139" s="71"/>
      <c r="AN139" s="71"/>
      <c r="AO139" s="71" t="s">
        <v>198</v>
      </c>
      <c r="AP139" s="71" t="s">
        <v>253</v>
      </c>
      <c r="AQ139" s="71"/>
      <c r="AS139" s="71" t="s">
        <v>209</v>
      </c>
      <c r="AT139" s="75" t="s">
        <v>236</v>
      </c>
      <c r="AV139" s="75" t="s">
        <v>218</v>
      </c>
      <c r="AW139" s="75" t="s">
        <v>200</v>
      </c>
      <c r="AX139" s="75" t="str">
        <f t="shared" si="18"/>
        <v>ELKIN DURAN MANCIPE</v>
      </c>
      <c r="BA139" s="75" t="s">
        <v>242</v>
      </c>
      <c r="BB139" s="75" t="str">
        <f t="shared" si="19"/>
        <v>LAURA SOFIA PAEZ GALLO</v>
      </c>
      <c r="BI139" s="75" t="s">
        <v>206</v>
      </c>
      <c r="BJ139" s="75" t="s">
        <v>227</v>
      </c>
      <c r="BL139" s="75" t="s">
        <v>202</v>
      </c>
      <c r="BM139" s="75" t="s">
        <v>203</v>
      </c>
      <c r="BP139" s="73" t="s">
        <v>378</v>
      </c>
      <c r="BQ139" s="78" t="str">
        <f t="shared" si="6"/>
        <v>SST CUL</v>
      </c>
      <c r="BR139" s="78" t="str">
        <f t="shared" si="14"/>
        <v>CUL</v>
      </c>
      <c r="BS139" s="78" t="str">
        <f t="shared" si="16"/>
        <v/>
      </c>
      <c r="BT139" s="78" t="str">
        <f>VLOOKUP(A139,[2]Hoja1!$A$2:$B$123,2,FALSE)</f>
        <v>BIL</v>
      </c>
      <c r="BU139" s="71">
        <v>13</v>
      </c>
      <c r="BV139" s="71" t="s">
        <v>534</v>
      </c>
      <c r="BW139" s="81">
        <f>VLOOKUP(A139,[2]PE04!$A$7:$A$328,1,FALSE)</f>
        <v>3118505</v>
      </c>
      <c r="BX139" s="81" t="str">
        <f>IFERROR(VLOOKUP( 5,[2]PE04!A64:G391,8,FALSE), "No encontrado")</f>
        <v>No encontrado</v>
      </c>
    </row>
    <row r="140" spans="1:76" ht="13.5" customHeight="1" x14ac:dyDescent="0.25">
      <c r="A140" s="70">
        <v>3118506</v>
      </c>
      <c r="B140" s="71" t="s">
        <v>245</v>
      </c>
      <c r="C140" s="71">
        <v>45</v>
      </c>
      <c r="D140" s="72" t="s">
        <v>101</v>
      </c>
      <c r="E140" s="73" t="s">
        <v>116</v>
      </c>
      <c r="F140" s="74">
        <f t="shared" si="17"/>
        <v>46251</v>
      </c>
      <c r="G140" s="73" t="s">
        <v>117</v>
      </c>
      <c r="H140" s="73" t="s">
        <v>340</v>
      </c>
      <c r="J140" s="71" t="s">
        <v>227</v>
      </c>
      <c r="L140" s="71" t="s">
        <v>340</v>
      </c>
      <c r="M140" s="70" t="s">
        <v>377</v>
      </c>
      <c r="O140" s="71" t="s">
        <v>233</v>
      </c>
      <c r="P140" s="72" t="s">
        <v>211</v>
      </c>
      <c r="Q140" s="71" t="s">
        <v>297</v>
      </c>
      <c r="R140" s="71" t="s">
        <v>297</v>
      </c>
      <c r="U140" s="75"/>
      <c r="W140" s="75"/>
      <c r="Y140" s="75"/>
      <c r="AC140" s="75"/>
      <c r="AE140" s="71" t="s">
        <v>204</v>
      </c>
      <c r="AF140" s="71" t="s">
        <v>221</v>
      </c>
      <c r="AG140" s="71" t="s">
        <v>209</v>
      </c>
      <c r="AH140" s="76" t="s">
        <v>236</v>
      </c>
      <c r="AK140" s="71"/>
      <c r="AL140" s="75" t="s">
        <v>218</v>
      </c>
      <c r="AM140" s="71"/>
      <c r="AN140" s="71"/>
      <c r="AO140" s="71"/>
      <c r="AP140" s="71"/>
      <c r="AQ140" s="71"/>
      <c r="AS140" s="71" t="s">
        <v>196</v>
      </c>
      <c r="AT140" s="75" t="s">
        <v>267</v>
      </c>
      <c r="AV140" s="75" t="s">
        <v>218</v>
      </c>
      <c r="AW140" s="75" t="s">
        <v>198</v>
      </c>
      <c r="AX140" s="75" t="str">
        <f t="shared" si="18"/>
        <v>ANGELICA JANETH RODRIGUEZ ALONSO</v>
      </c>
      <c r="BA140" s="75" t="s">
        <v>200</v>
      </c>
      <c r="BB140" s="75" t="str">
        <f t="shared" si="19"/>
        <v>ELKIN DURAN MANCIPE</v>
      </c>
      <c r="BI140" s="75" t="s">
        <v>206</v>
      </c>
      <c r="BJ140" s="75" t="s">
        <v>207</v>
      </c>
      <c r="BL140" s="75" t="s">
        <v>208</v>
      </c>
      <c r="BM140" s="75" t="s">
        <v>235</v>
      </c>
      <c r="BP140" s="73" t="s">
        <v>378</v>
      </c>
      <c r="BQ140" s="78" t="str">
        <f t="shared" si="6"/>
        <v>INV CIE SST DER CUL</v>
      </c>
      <c r="BR140" s="78" t="str">
        <f t="shared" si="14"/>
        <v>INV CIE DER CUL</v>
      </c>
      <c r="BS140" s="78" t="str">
        <f t="shared" si="16"/>
        <v>INV CIE CUL</v>
      </c>
      <c r="BT140" s="78" t="str">
        <f>VLOOKUP(A140,[2]Hoja1!$A$2:$B$123,2,FALSE)</f>
        <v>BIL</v>
      </c>
      <c r="BU140" s="71">
        <v>23</v>
      </c>
      <c r="BV140" s="71" t="s">
        <v>534</v>
      </c>
      <c r="BW140" s="81">
        <f>VLOOKUP(A140,[2]PE04!$A$7:$A$328,1,FALSE)</f>
        <v>3118506</v>
      </c>
      <c r="BX140" s="81" t="str">
        <f>IFERROR(VLOOKUP( 5,[2]PE04!A65:G392,8,FALSE), "No encontrado")</f>
        <v>No encontrado</v>
      </c>
    </row>
    <row r="141" spans="1:76" ht="13.5" customHeight="1" x14ac:dyDescent="0.25">
      <c r="A141" s="70">
        <v>3118507</v>
      </c>
      <c r="B141" s="71" t="s">
        <v>245</v>
      </c>
      <c r="C141" s="71">
        <v>44</v>
      </c>
      <c r="D141" s="72" t="s">
        <v>101</v>
      </c>
      <c r="E141" s="73" t="s">
        <v>116</v>
      </c>
      <c r="F141" s="74">
        <f t="shared" si="17"/>
        <v>46251</v>
      </c>
      <c r="G141" s="73" t="s">
        <v>117</v>
      </c>
      <c r="H141" s="73" t="s">
        <v>340</v>
      </c>
      <c r="J141" s="71" t="s">
        <v>227</v>
      </c>
      <c r="L141" s="71" t="s">
        <v>340</v>
      </c>
      <c r="M141" s="70" t="s">
        <v>377</v>
      </c>
      <c r="O141" s="71" t="s">
        <v>233</v>
      </c>
      <c r="P141" s="72" t="s">
        <v>211</v>
      </c>
      <c r="Q141" s="71" t="s">
        <v>297</v>
      </c>
      <c r="R141" s="71" t="s">
        <v>297</v>
      </c>
      <c r="U141" s="75"/>
      <c r="W141" s="75"/>
      <c r="Y141" s="75"/>
      <c r="AC141" s="75"/>
      <c r="AE141" s="71" t="s">
        <v>204</v>
      </c>
      <c r="AF141" s="71" t="s">
        <v>205</v>
      </c>
      <c r="AG141" s="71" t="s">
        <v>208</v>
      </c>
      <c r="AH141" s="76" t="s">
        <v>278</v>
      </c>
      <c r="AK141" s="71"/>
      <c r="AL141" s="75" t="s">
        <v>218</v>
      </c>
      <c r="AM141" s="71"/>
      <c r="AN141" s="71"/>
      <c r="AO141" s="71" t="s">
        <v>254</v>
      </c>
      <c r="AP141" s="71" t="s">
        <v>255</v>
      </c>
      <c r="AQ141" s="71"/>
      <c r="AS141" s="71" t="s">
        <v>196</v>
      </c>
      <c r="AT141" s="75" t="s">
        <v>219</v>
      </c>
      <c r="AV141" s="75" t="s">
        <v>218</v>
      </c>
      <c r="AW141" s="75" t="s">
        <v>198</v>
      </c>
      <c r="AX141" s="75" t="str">
        <f t="shared" si="18"/>
        <v>ERICK RUIZ NOREÑA</v>
      </c>
      <c r="BA141" s="75" t="s">
        <v>200</v>
      </c>
      <c r="BB141" s="75" t="str">
        <f t="shared" si="19"/>
        <v>ELKIN DURAN MANCIPE</v>
      </c>
      <c r="BI141" s="75" t="s">
        <v>209</v>
      </c>
      <c r="BJ141" s="75" t="s">
        <v>554</v>
      </c>
      <c r="BL141" s="75" t="s">
        <v>206</v>
      </c>
      <c r="BM141" s="75" t="s">
        <v>555</v>
      </c>
      <c r="BP141" s="73" t="s">
        <v>379</v>
      </c>
      <c r="BQ141" s="78" t="str">
        <f t="shared" si="6"/>
        <v>CIE SST EMP CUL</v>
      </c>
      <c r="BR141" s="78" t="str">
        <f t="shared" si="14"/>
        <v>CIE SST CUL</v>
      </c>
      <c r="BS141" s="78" t="str">
        <f t="shared" si="16"/>
        <v>CIE CUL</v>
      </c>
      <c r="BT141" s="78" t="str">
        <f>VLOOKUP(A141,[2]Hoja1!$A$2:$B$123,2,FALSE)</f>
        <v>BIL</v>
      </c>
      <c r="BU141" s="71">
        <v>19</v>
      </c>
      <c r="BV141" s="71" t="s">
        <v>534</v>
      </c>
      <c r="BW141" s="81">
        <f>VLOOKUP(A141,[2]PE04!$A$7:$A$328,1,FALSE)</f>
        <v>3118507</v>
      </c>
      <c r="BX141" s="81" t="str">
        <f>IFERROR(VLOOKUP( 5,[2]PE04!A66:G393,8,FALSE), "No encontrado")</f>
        <v>No encontrado</v>
      </c>
    </row>
    <row r="142" spans="1:76" ht="13.5" customHeight="1" x14ac:dyDescent="0.25">
      <c r="A142" s="70">
        <v>3118508</v>
      </c>
      <c r="B142" s="71" t="s">
        <v>245</v>
      </c>
      <c r="C142" s="71">
        <v>40</v>
      </c>
      <c r="D142" s="72" t="s">
        <v>99</v>
      </c>
      <c r="E142" s="73" t="s">
        <v>116</v>
      </c>
      <c r="F142" s="74">
        <f t="shared" si="17"/>
        <v>46251</v>
      </c>
      <c r="G142" s="73" t="s">
        <v>117</v>
      </c>
      <c r="H142" s="73" t="s">
        <v>268</v>
      </c>
      <c r="J142" s="71" t="s">
        <v>261</v>
      </c>
      <c r="M142" s="70" t="s">
        <v>262</v>
      </c>
      <c r="O142" s="71" t="s">
        <v>231</v>
      </c>
      <c r="P142" s="72" t="s">
        <v>262</v>
      </c>
      <c r="Q142" s="71" t="s">
        <v>263</v>
      </c>
      <c r="R142" s="71" t="s">
        <v>263</v>
      </c>
      <c r="U142" s="75"/>
      <c r="W142" s="75"/>
      <c r="Y142" s="75"/>
      <c r="AC142" s="75" t="s">
        <v>204</v>
      </c>
      <c r="AD142" s="71" t="s">
        <v>221</v>
      </c>
      <c r="AE142" s="71" t="s">
        <v>209</v>
      </c>
      <c r="AF142" s="71" t="s">
        <v>236</v>
      </c>
      <c r="AG142" s="71" t="s">
        <v>198</v>
      </c>
      <c r="AH142" s="76" t="s">
        <v>299</v>
      </c>
      <c r="AK142" s="71" t="s">
        <v>200</v>
      </c>
      <c r="AL142" s="75" t="s">
        <v>214</v>
      </c>
      <c r="AM142" s="71"/>
      <c r="AN142" s="71"/>
      <c r="AO142" s="71" t="s">
        <v>196</v>
      </c>
      <c r="AP142" s="71" t="s">
        <v>219</v>
      </c>
      <c r="AQ142" s="71"/>
      <c r="AS142" s="71" t="s">
        <v>206</v>
      </c>
      <c r="AT142" s="75" t="s">
        <v>207</v>
      </c>
      <c r="AV142" s="75" t="s">
        <v>218</v>
      </c>
      <c r="AW142" s="75" t="s">
        <v>208</v>
      </c>
      <c r="AX142" s="75" t="str">
        <f t="shared" si="18"/>
        <v>HECTOR ANDRES CIPAMOCHA CENTENO</v>
      </c>
      <c r="BE142" s="75" t="s">
        <v>194</v>
      </c>
      <c r="BF142" s="75" t="s">
        <v>195</v>
      </c>
      <c r="BI142" s="75" t="s">
        <v>202</v>
      </c>
      <c r="BJ142" s="75" t="s">
        <v>216</v>
      </c>
      <c r="BL142" s="75" t="s">
        <v>254</v>
      </c>
      <c r="BM142" s="75" t="s">
        <v>556</v>
      </c>
      <c r="BP142" s="73" t="s">
        <v>379</v>
      </c>
      <c r="BQ142" s="78" t="str">
        <f t="shared" si="6"/>
        <v>INV CUL</v>
      </c>
      <c r="BR142" s="78" t="str">
        <f t="shared" si="14"/>
        <v>INV</v>
      </c>
      <c r="BS142" s="78" t="str">
        <f t="shared" si="16"/>
        <v/>
      </c>
      <c r="BT142" s="78" t="str">
        <f>VLOOKUP(A142,[2]Hoja1!$A$2:$B$123,2,FALSE)</f>
        <v>BIL</v>
      </c>
      <c r="BU142" s="71">
        <v>35</v>
      </c>
      <c r="BV142" s="71" t="s">
        <v>534</v>
      </c>
      <c r="BW142" s="81">
        <f>VLOOKUP(A142,[2]PE04!$A$7:$A$328,1,FALSE)</f>
        <v>3118508</v>
      </c>
      <c r="BX142" s="81" t="str">
        <f>IFERROR(VLOOKUP( 5,[2]PE04!A67:G394,8,FALSE), "No encontrado")</f>
        <v>No encontrado</v>
      </c>
    </row>
    <row r="143" spans="1:76" ht="13.5" customHeight="1" x14ac:dyDescent="0.25">
      <c r="A143" s="70">
        <v>3118509</v>
      </c>
      <c r="B143" s="71" t="s">
        <v>245</v>
      </c>
      <c r="C143" s="71">
        <v>40</v>
      </c>
      <c r="D143" s="72" t="s">
        <v>99</v>
      </c>
      <c r="E143" s="73" t="s">
        <v>116</v>
      </c>
      <c r="F143" s="74">
        <f t="shared" si="17"/>
        <v>46251</v>
      </c>
      <c r="G143" s="73" t="s">
        <v>117</v>
      </c>
      <c r="H143" s="73" t="s">
        <v>268</v>
      </c>
      <c r="J143" s="71" t="s">
        <v>261</v>
      </c>
      <c r="M143" s="70" t="s">
        <v>262</v>
      </c>
      <c r="O143" s="71" t="s">
        <v>231</v>
      </c>
      <c r="P143" s="72" t="s">
        <v>262</v>
      </c>
      <c r="Q143" s="71" t="s">
        <v>263</v>
      </c>
      <c r="R143" s="71" t="s">
        <v>263</v>
      </c>
      <c r="U143" s="75"/>
      <c r="W143" s="75"/>
      <c r="Y143" s="75"/>
      <c r="AC143" s="75" t="s">
        <v>208</v>
      </c>
      <c r="AD143" s="71" t="s">
        <v>235</v>
      </c>
      <c r="AE143" s="71" t="s">
        <v>209</v>
      </c>
      <c r="AF143" s="71" t="s">
        <v>226</v>
      </c>
      <c r="AG143" s="71" t="s">
        <v>204</v>
      </c>
      <c r="AH143" s="76" t="s">
        <v>221</v>
      </c>
      <c r="AK143" s="71" t="s">
        <v>198</v>
      </c>
      <c r="AL143" s="75" t="s">
        <v>199</v>
      </c>
      <c r="AM143" s="71"/>
      <c r="AN143" s="71"/>
      <c r="AO143" s="71"/>
      <c r="AP143" s="71"/>
      <c r="AQ143" s="71"/>
      <c r="AS143" s="71" t="s">
        <v>200</v>
      </c>
      <c r="AT143" s="75" t="s">
        <v>220</v>
      </c>
      <c r="AV143" s="75" t="s">
        <v>218</v>
      </c>
      <c r="AW143" s="75" t="s">
        <v>196</v>
      </c>
      <c r="AX143" s="75" t="str">
        <f t="shared" si="18"/>
        <v>JORGE ARMANDO PIEDRAHITA</v>
      </c>
      <c r="BA143" s="75" t="s">
        <v>206</v>
      </c>
      <c r="BB143" s="75" t="str">
        <f t="shared" ref="BB143:BB149" si="20">VLOOKUP(A143,_p8_2025,2,FALSE)</f>
        <v>DEISY JULIETH GARCIA CASTAÑEDA</v>
      </c>
      <c r="BE143" s="75" t="s">
        <v>194</v>
      </c>
      <c r="BF143" s="75" t="s">
        <v>195</v>
      </c>
      <c r="BI143" s="75" t="s">
        <v>202</v>
      </c>
      <c r="BJ143" s="75" t="s">
        <v>216</v>
      </c>
      <c r="BL143" s="75" t="s">
        <v>254</v>
      </c>
      <c r="BM143" s="75" t="s">
        <v>556</v>
      </c>
      <c r="BP143" s="73" t="s">
        <v>379</v>
      </c>
      <c r="BQ143" s="78" t="str">
        <f t="shared" ref="BQ143:BQ206" si="21">TRIM(SUBSTITUTE(SUBSTITUTE(SUBSTITUTE(SUBSTITUTE(SUBSTITUTE(SUBSTITUTE(SUBSTITUTE(SUBSTITUTE(SUBSTITUTE(SUBSTITUTE(SUBSTITUTE(SUBSTITUTE(SUBSTITUTE(SUBSTITUTE(SUBSTITUTE(SUBSTITUTE(Q143, Y143, ""), AA143, ""), AC143, ""), AE143, ""), AG143, ""), AK143, ""), AO143, ""), AQ143, ""), AS143, ""), AU143, ""), AW143, ""), AY143, ""), BA143, ""), BC143, ""), BE143, ""), BG143, ""))</f>
        <v>INV CUL</v>
      </c>
      <c r="BR143" s="78" t="str">
        <f t="shared" si="14"/>
        <v>INV</v>
      </c>
      <c r="BS143" s="78" t="str">
        <f t="shared" si="16"/>
        <v/>
      </c>
      <c r="BT143" s="78" t="str">
        <f>VLOOKUP(A143,[2]Hoja1!$A$2:$B$123,2,FALSE)</f>
        <v>BIL</v>
      </c>
      <c r="BU143" s="71">
        <v>36</v>
      </c>
      <c r="BV143" s="71" t="s">
        <v>534</v>
      </c>
      <c r="BW143" s="81">
        <f>VLOOKUP(A143,[2]PE04!$A$7:$A$328,1,FALSE)</f>
        <v>3118509</v>
      </c>
      <c r="BX143" s="81" t="str">
        <f>IFERROR(VLOOKUP( 5,[2]PE04!A68:G395,8,FALSE), "No encontrado")</f>
        <v>No encontrado</v>
      </c>
    </row>
    <row r="144" spans="1:76" ht="13.5" customHeight="1" x14ac:dyDescent="0.25">
      <c r="A144" s="70">
        <v>3118510</v>
      </c>
      <c r="B144" s="71" t="s">
        <v>245</v>
      </c>
      <c r="C144" s="71">
        <v>41</v>
      </c>
      <c r="D144" s="72" t="s">
        <v>99</v>
      </c>
      <c r="E144" s="73" t="s">
        <v>116</v>
      </c>
      <c r="F144" s="74">
        <f t="shared" si="17"/>
        <v>46251</v>
      </c>
      <c r="G144" s="73" t="s">
        <v>117</v>
      </c>
      <c r="H144" s="73" t="s">
        <v>246</v>
      </c>
      <c r="J144" s="71" t="s">
        <v>261</v>
      </c>
      <c r="M144" s="70" t="s">
        <v>380</v>
      </c>
      <c r="O144" s="71" t="s">
        <v>231</v>
      </c>
      <c r="P144" s="72" t="s">
        <v>380</v>
      </c>
      <c r="Q144" s="71" t="s">
        <v>263</v>
      </c>
      <c r="R144" s="71" t="s">
        <v>263</v>
      </c>
      <c r="U144" s="75"/>
      <c r="W144" s="75"/>
      <c r="Y144" s="75"/>
      <c r="AC144" s="75" t="s">
        <v>208</v>
      </c>
      <c r="AD144" s="71" t="s">
        <v>239</v>
      </c>
      <c r="AE144" s="71" t="s">
        <v>209</v>
      </c>
      <c r="AF144" s="71" t="s">
        <v>236</v>
      </c>
      <c r="AG144" s="71" t="s">
        <v>204</v>
      </c>
      <c r="AH144" s="76" t="s">
        <v>217</v>
      </c>
      <c r="AK144" s="71" t="s">
        <v>198</v>
      </c>
      <c r="AL144" s="75" t="s">
        <v>253</v>
      </c>
      <c r="AM144" s="71"/>
      <c r="AN144" s="71"/>
      <c r="AO144" s="71"/>
      <c r="AP144" s="71"/>
      <c r="AQ144" s="71"/>
      <c r="AS144" s="71" t="s">
        <v>200</v>
      </c>
      <c r="AT144" s="75" t="s">
        <v>201</v>
      </c>
      <c r="AV144" s="75" t="s">
        <v>218</v>
      </c>
      <c r="AW144" s="75" t="s">
        <v>196</v>
      </c>
      <c r="AX144" s="75" t="str">
        <f t="shared" si="18"/>
        <v>CESAR AUGUSTO BERMEO</v>
      </c>
      <c r="BA144" s="75" t="s">
        <v>206</v>
      </c>
      <c r="BB144" s="75" t="str">
        <f t="shared" si="20"/>
        <v>MARINELLA DIAZ ACOSTA</v>
      </c>
      <c r="BL144" s="75" t="s">
        <v>194</v>
      </c>
      <c r="BM144" s="75" t="s">
        <v>545</v>
      </c>
      <c r="BP144" s="73" t="s">
        <v>379</v>
      </c>
      <c r="BQ144" s="78" t="str">
        <f t="shared" si="21"/>
        <v>INV FIS CUL</v>
      </c>
      <c r="BR144" s="78" t="str">
        <f t="shared" si="14"/>
        <v>INV FIS CUL</v>
      </c>
      <c r="BS144" s="78" t="str">
        <f t="shared" si="16"/>
        <v>INV CUL</v>
      </c>
      <c r="BT144" s="78" t="str">
        <f>VLOOKUP(A144,[2]Hoja1!$A$2:$B$123,2,FALSE)</f>
        <v>BIL</v>
      </c>
      <c r="BU144" s="71">
        <v>37</v>
      </c>
      <c r="BV144" s="71" t="s">
        <v>534</v>
      </c>
      <c r="BW144" s="81">
        <f>VLOOKUP(A144,[2]PE04!$A$7:$A$328,1,FALSE)</f>
        <v>3118510</v>
      </c>
      <c r="BX144" s="81" t="str">
        <f>IFERROR(VLOOKUP( 5,[2]PE04!A69:G396,8,FALSE), "No encontrado")</f>
        <v>No encontrado</v>
      </c>
    </row>
    <row r="145" spans="1:76" ht="13.5" customHeight="1" x14ac:dyDescent="0.25">
      <c r="A145" s="70">
        <v>3118511</v>
      </c>
      <c r="B145" s="71" t="s">
        <v>245</v>
      </c>
      <c r="C145" s="71">
        <v>42</v>
      </c>
      <c r="D145" s="72" t="s">
        <v>99</v>
      </c>
      <c r="E145" s="73" t="s">
        <v>116</v>
      </c>
      <c r="F145" s="74">
        <f t="shared" si="17"/>
        <v>46251</v>
      </c>
      <c r="G145" s="73" t="s">
        <v>117</v>
      </c>
      <c r="H145" s="73" t="s">
        <v>246</v>
      </c>
      <c r="J145" s="71" t="s">
        <v>261</v>
      </c>
      <c r="M145" s="70" t="s">
        <v>380</v>
      </c>
      <c r="O145" s="71" t="s">
        <v>231</v>
      </c>
      <c r="P145" s="72" t="s">
        <v>380</v>
      </c>
      <c r="Q145" s="71" t="s">
        <v>263</v>
      </c>
      <c r="R145" s="71" t="s">
        <v>263</v>
      </c>
      <c r="U145" s="75"/>
      <c r="W145" s="75"/>
      <c r="Y145" s="75"/>
      <c r="AC145" s="75" t="s">
        <v>208</v>
      </c>
      <c r="AD145" s="71" t="s">
        <v>239</v>
      </c>
      <c r="AE145" s="71" t="s">
        <v>209</v>
      </c>
      <c r="AF145" s="71" t="s">
        <v>236</v>
      </c>
      <c r="AG145" s="71" t="s">
        <v>204</v>
      </c>
      <c r="AH145" s="76" t="s">
        <v>217</v>
      </c>
      <c r="AK145" s="71" t="s">
        <v>198</v>
      </c>
      <c r="AL145" s="75" t="s">
        <v>225</v>
      </c>
      <c r="AM145" s="71"/>
      <c r="AN145" s="71"/>
      <c r="AO145" s="71"/>
      <c r="AP145" s="71"/>
      <c r="AQ145" s="71"/>
      <c r="AS145" s="71" t="s">
        <v>200</v>
      </c>
      <c r="AT145" s="75" t="s">
        <v>220</v>
      </c>
      <c r="AV145" s="75" t="s">
        <v>218</v>
      </c>
      <c r="AW145" s="75" t="s">
        <v>196</v>
      </c>
      <c r="AX145" s="75" t="str">
        <f t="shared" si="18"/>
        <v>JORGE ARMANDO PIEDRAHITA</v>
      </c>
      <c r="BA145" s="75" t="s">
        <v>206</v>
      </c>
      <c r="BB145" s="75" t="str">
        <f t="shared" si="20"/>
        <v>DEISY JULIETH GARCIA CASTAÑEDA</v>
      </c>
      <c r="BI145" s="75" t="s">
        <v>194</v>
      </c>
      <c r="BJ145" s="75" t="s">
        <v>545</v>
      </c>
      <c r="BL145" s="75" t="s">
        <v>254</v>
      </c>
      <c r="BP145" s="73" t="s">
        <v>379</v>
      </c>
      <c r="BQ145" s="78" t="str">
        <f t="shared" si="21"/>
        <v>INV FIS CUL</v>
      </c>
      <c r="BR145" s="78" t="str">
        <f t="shared" si="14"/>
        <v>INV CUL</v>
      </c>
      <c r="BS145" s="78" t="str">
        <f t="shared" si="16"/>
        <v>CUL</v>
      </c>
      <c r="BT145" s="78" t="str">
        <f>VLOOKUP(A145,[2]Hoja1!$A$2:$B$123,2,FALSE)</f>
        <v>BIL</v>
      </c>
      <c r="BU145" s="71">
        <v>36</v>
      </c>
      <c r="BV145" s="71" t="s">
        <v>534</v>
      </c>
      <c r="BW145" s="81">
        <f>VLOOKUP(A145,[2]PE04!$A$7:$A$328,1,FALSE)</f>
        <v>3118511</v>
      </c>
      <c r="BX145" s="81" t="str">
        <f>IFERROR(VLOOKUP( 5,[2]PE04!A70:G397,8,FALSE), "No encontrado")</f>
        <v>No encontrado</v>
      </c>
    </row>
    <row r="146" spans="1:76" ht="13.5" customHeight="1" x14ac:dyDescent="0.25">
      <c r="A146" s="70">
        <v>3118512</v>
      </c>
      <c r="B146" s="71" t="s">
        <v>245</v>
      </c>
      <c r="C146" s="71">
        <v>38</v>
      </c>
      <c r="D146" s="72" t="s">
        <v>99</v>
      </c>
      <c r="E146" s="73" t="s">
        <v>116</v>
      </c>
      <c r="F146" s="74">
        <f t="shared" si="17"/>
        <v>46251</v>
      </c>
      <c r="G146" s="73" t="s">
        <v>117</v>
      </c>
      <c r="H146" s="73" t="s">
        <v>246</v>
      </c>
      <c r="J146" s="71" t="s">
        <v>261</v>
      </c>
      <c r="M146" s="70" t="s">
        <v>380</v>
      </c>
      <c r="O146" s="71" t="s">
        <v>231</v>
      </c>
      <c r="P146" s="72" t="s">
        <v>380</v>
      </c>
      <c r="Q146" s="71" t="s">
        <v>263</v>
      </c>
      <c r="R146" s="71" t="s">
        <v>263</v>
      </c>
      <c r="U146" s="75"/>
      <c r="W146" s="75"/>
      <c r="Y146" s="75"/>
      <c r="AC146" s="75" t="s">
        <v>208</v>
      </c>
      <c r="AD146" s="71" t="s">
        <v>235</v>
      </c>
      <c r="AE146" s="71" t="s">
        <v>209</v>
      </c>
      <c r="AF146" s="71" t="s">
        <v>226</v>
      </c>
      <c r="AG146" s="71" t="s">
        <v>204</v>
      </c>
      <c r="AH146" s="76" t="s">
        <v>205</v>
      </c>
      <c r="AK146" s="71" t="s">
        <v>198</v>
      </c>
      <c r="AL146" s="75" t="s">
        <v>253</v>
      </c>
      <c r="AM146" s="71"/>
      <c r="AN146" s="71"/>
      <c r="AO146" s="71"/>
      <c r="AP146" s="71"/>
      <c r="AQ146" s="71"/>
      <c r="AS146" s="71" t="s">
        <v>200</v>
      </c>
      <c r="AT146" s="75" t="s">
        <v>201</v>
      </c>
      <c r="AV146" s="75" t="s">
        <v>218</v>
      </c>
      <c r="AW146" s="75" t="s">
        <v>196</v>
      </c>
      <c r="AX146" s="75" t="str">
        <f t="shared" si="18"/>
        <v>JORGE ARMANDO PIEDRAHITA</v>
      </c>
      <c r="BA146" s="75" t="s">
        <v>206</v>
      </c>
      <c r="BB146" s="75" t="str">
        <f t="shared" si="20"/>
        <v>MARINELLA DIAZ ACOSTA</v>
      </c>
      <c r="BE146" s="75" t="s">
        <v>194</v>
      </c>
      <c r="BF146" s="75" t="s">
        <v>195</v>
      </c>
      <c r="BI146" s="75" t="s">
        <v>202</v>
      </c>
      <c r="BJ146" s="75" t="s">
        <v>216</v>
      </c>
      <c r="BL146" s="75" t="s">
        <v>254</v>
      </c>
      <c r="BM146" s="75" t="s">
        <v>556</v>
      </c>
      <c r="BP146" s="73" t="s">
        <v>379</v>
      </c>
      <c r="BQ146" s="78" t="str">
        <f t="shared" si="21"/>
        <v>INV CUL</v>
      </c>
      <c r="BR146" s="78" t="str">
        <f t="shared" si="14"/>
        <v>INV</v>
      </c>
      <c r="BS146" s="78" t="str">
        <f t="shared" si="16"/>
        <v/>
      </c>
      <c r="BT146" s="78" t="str">
        <f>VLOOKUP(A146,[2]Hoja1!$A$2:$B$123,2,FALSE)</f>
        <v>BIL</v>
      </c>
      <c r="BU146" s="71">
        <v>35</v>
      </c>
      <c r="BV146" s="71" t="s">
        <v>534</v>
      </c>
      <c r="BW146" s="81">
        <f>VLOOKUP(A146,[2]PE04!$A$7:$A$328,1,FALSE)</f>
        <v>3118512</v>
      </c>
      <c r="BX146" s="81" t="str">
        <f>IFERROR(VLOOKUP( 5,[2]PE04!A71:G398,8,FALSE), "No encontrado")</f>
        <v>No encontrado</v>
      </c>
    </row>
    <row r="147" spans="1:76" ht="13.5" customHeight="1" x14ac:dyDescent="0.25">
      <c r="A147" s="70">
        <v>3118513</v>
      </c>
      <c r="B147" s="71" t="s">
        <v>245</v>
      </c>
      <c r="C147" s="71">
        <v>42</v>
      </c>
      <c r="D147" s="72" t="s">
        <v>99</v>
      </c>
      <c r="E147" s="73" t="s">
        <v>116</v>
      </c>
      <c r="F147" s="74">
        <f t="shared" si="17"/>
        <v>46251</v>
      </c>
      <c r="G147" s="73" t="s">
        <v>117</v>
      </c>
      <c r="H147" s="73" t="s">
        <v>292</v>
      </c>
      <c r="J147" s="71" t="s">
        <v>261</v>
      </c>
      <c r="M147" s="70" t="s">
        <v>292</v>
      </c>
      <c r="O147" s="71" t="s">
        <v>231</v>
      </c>
      <c r="P147" s="72" t="s">
        <v>292</v>
      </c>
      <c r="Q147" s="71" t="s">
        <v>263</v>
      </c>
      <c r="R147" s="71" t="s">
        <v>263</v>
      </c>
      <c r="U147" s="75"/>
      <c r="W147" s="75"/>
      <c r="Y147" s="75"/>
      <c r="AC147" s="75" t="s">
        <v>208</v>
      </c>
      <c r="AD147" s="71" t="s">
        <v>235</v>
      </c>
      <c r="AE147" s="71" t="s">
        <v>209</v>
      </c>
      <c r="AF147" s="71" t="s">
        <v>226</v>
      </c>
      <c r="AG147" s="71" t="s">
        <v>204</v>
      </c>
      <c r="AH147" s="76" t="s">
        <v>221</v>
      </c>
      <c r="AK147" s="71" t="s">
        <v>198</v>
      </c>
      <c r="AL147" s="75" t="s">
        <v>215</v>
      </c>
      <c r="AM147" s="71"/>
      <c r="AN147" s="71"/>
      <c r="AO147" s="71"/>
      <c r="AP147" s="71"/>
      <c r="AQ147" s="71"/>
      <c r="AS147" s="71" t="s">
        <v>200</v>
      </c>
      <c r="AT147" s="75" t="s">
        <v>201</v>
      </c>
      <c r="AV147" s="75" t="s">
        <v>218</v>
      </c>
      <c r="AW147" s="75" t="s">
        <v>196</v>
      </c>
      <c r="AX147" s="75" t="str">
        <f t="shared" si="18"/>
        <v>CESAR AUGUSTO BERMEO</v>
      </c>
      <c r="BA147" s="75" t="s">
        <v>206</v>
      </c>
      <c r="BB147" s="75" t="str">
        <f t="shared" si="20"/>
        <v>JORGE IVAN PEREZ GAITAN</v>
      </c>
      <c r="BL147" s="75" t="s">
        <v>202</v>
      </c>
      <c r="BM147" s="75" t="s">
        <v>203</v>
      </c>
      <c r="BP147" s="73" t="s">
        <v>379</v>
      </c>
      <c r="BQ147" s="78" t="str">
        <f t="shared" si="21"/>
        <v>INV FIS CUL</v>
      </c>
      <c r="BR147" s="78" t="str">
        <f t="shared" si="14"/>
        <v>INV FIS CUL</v>
      </c>
      <c r="BS147" s="78" t="str">
        <f t="shared" si="16"/>
        <v>INV FIS</v>
      </c>
      <c r="BT147" s="78" t="str">
        <f>VLOOKUP(A147,[2]Hoja1!$A$2:$B$123,2,FALSE)</f>
        <v>BIL</v>
      </c>
      <c r="BU147" s="71">
        <v>36</v>
      </c>
      <c r="BV147" s="71" t="s">
        <v>534</v>
      </c>
      <c r="BW147" s="81">
        <f>VLOOKUP(A147,[2]PE04!$A$7:$A$328,1,FALSE)</f>
        <v>3118513</v>
      </c>
      <c r="BX147" s="81" t="str">
        <f>IFERROR(VLOOKUP( 5,[2]PE04!A72:G399,8,FALSE), "No encontrado")</f>
        <v>No encontrado</v>
      </c>
    </row>
    <row r="148" spans="1:76" ht="13.5" customHeight="1" x14ac:dyDescent="0.25">
      <c r="A148" s="70">
        <v>3118514</v>
      </c>
      <c r="B148" s="71" t="s">
        <v>245</v>
      </c>
      <c r="C148" s="71">
        <v>43</v>
      </c>
      <c r="D148" s="72" t="s">
        <v>99</v>
      </c>
      <c r="E148" s="73" t="s">
        <v>116</v>
      </c>
      <c r="F148" s="74">
        <f t="shared" si="17"/>
        <v>46251</v>
      </c>
      <c r="G148" s="73" t="s">
        <v>117</v>
      </c>
      <c r="H148" s="73" t="s">
        <v>292</v>
      </c>
      <c r="J148" s="71" t="s">
        <v>261</v>
      </c>
      <c r="M148" s="70" t="s">
        <v>292</v>
      </c>
      <c r="O148" s="71" t="s">
        <v>231</v>
      </c>
      <c r="P148" s="72" t="s">
        <v>292</v>
      </c>
      <c r="Q148" s="71" t="s">
        <v>263</v>
      </c>
      <c r="R148" s="71" t="s">
        <v>263</v>
      </c>
      <c r="U148" s="75"/>
      <c r="W148" s="75"/>
      <c r="Y148" s="75"/>
      <c r="AC148" s="75" t="s">
        <v>208</v>
      </c>
      <c r="AD148" s="71" t="s">
        <v>239</v>
      </c>
      <c r="AE148" s="71" t="s">
        <v>209</v>
      </c>
      <c r="AF148" s="71" t="s">
        <v>236</v>
      </c>
      <c r="AG148" s="71" t="s">
        <v>204</v>
      </c>
      <c r="AH148" s="76" t="s">
        <v>205</v>
      </c>
      <c r="AK148" s="71" t="s">
        <v>198</v>
      </c>
      <c r="AL148" s="75" t="s">
        <v>215</v>
      </c>
      <c r="AM148" s="71"/>
      <c r="AN148" s="71"/>
      <c r="AO148" s="71"/>
      <c r="AP148" s="71"/>
      <c r="AQ148" s="71"/>
      <c r="AS148" s="71" t="s">
        <v>200</v>
      </c>
      <c r="AT148" s="75" t="s">
        <v>201</v>
      </c>
      <c r="AV148" s="75" t="s">
        <v>218</v>
      </c>
      <c r="AW148" s="75" t="s">
        <v>196</v>
      </c>
      <c r="AX148" s="75" t="str">
        <f t="shared" si="18"/>
        <v>CESAR AUGUSTO BERMEO</v>
      </c>
      <c r="BA148" s="75" t="s">
        <v>206</v>
      </c>
      <c r="BB148" s="75" t="str">
        <f t="shared" si="20"/>
        <v>MARINELLA DIAZ ACOSTA</v>
      </c>
      <c r="BI148" s="75" t="s">
        <v>194</v>
      </c>
      <c r="BJ148" s="75" t="s">
        <v>545</v>
      </c>
      <c r="BL148" s="75" t="s">
        <v>254</v>
      </c>
      <c r="BM148" s="75" t="s">
        <v>255</v>
      </c>
      <c r="BP148" s="73" t="s">
        <v>379</v>
      </c>
      <c r="BQ148" s="78" t="str">
        <f t="shared" si="21"/>
        <v>INV FIS CUL</v>
      </c>
      <c r="BR148" s="78" t="str">
        <f t="shared" si="14"/>
        <v>INV CUL</v>
      </c>
      <c r="BS148" s="78" t="str">
        <f t="shared" si="16"/>
        <v>CUL</v>
      </c>
      <c r="BT148" s="78" t="str">
        <f>VLOOKUP(A148,[2]Hoja1!$A$2:$B$123,2,FALSE)</f>
        <v>BIL</v>
      </c>
      <c r="BU148" s="71">
        <v>36</v>
      </c>
      <c r="BV148" s="71" t="s">
        <v>534</v>
      </c>
      <c r="BW148" s="81">
        <f>VLOOKUP(A148,[2]PE04!$A$7:$A$328,1,FALSE)</f>
        <v>3118514</v>
      </c>
      <c r="BX148" s="81" t="str">
        <f>IFERROR(VLOOKUP( 5,[2]PE04!A73:G400,8,FALSE), "No encontrado")</f>
        <v>No encontrado</v>
      </c>
    </row>
    <row r="149" spans="1:76" ht="13.5" customHeight="1" x14ac:dyDescent="0.25">
      <c r="A149" s="70">
        <v>3118515</v>
      </c>
      <c r="B149" s="71" t="s">
        <v>245</v>
      </c>
      <c r="C149" s="71">
        <v>35</v>
      </c>
      <c r="D149" s="72" t="s">
        <v>99</v>
      </c>
      <c r="E149" s="73" t="s">
        <v>116</v>
      </c>
      <c r="F149" s="74">
        <f t="shared" si="17"/>
        <v>46251</v>
      </c>
      <c r="G149" s="73" t="s">
        <v>117</v>
      </c>
      <c r="H149" s="73" t="s">
        <v>292</v>
      </c>
      <c r="J149" s="71" t="s">
        <v>261</v>
      </c>
      <c r="M149" s="70" t="s">
        <v>292</v>
      </c>
      <c r="O149" s="71" t="s">
        <v>231</v>
      </c>
      <c r="P149" s="72" t="s">
        <v>292</v>
      </c>
      <c r="Q149" s="71" t="s">
        <v>263</v>
      </c>
      <c r="R149" s="71" t="s">
        <v>263</v>
      </c>
      <c r="U149" s="75"/>
      <c r="W149" s="75"/>
      <c r="Y149" s="75"/>
      <c r="AC149" s="75" t="s">
        <v>208</v>
      </c>
      <c r="AD149" s="71" t="s">
        <v>239</v>
      </c>
      <c r="AE149" s="71" t="s">
        <v>209</v>
      </c>
      <c r="AF149" s="71" t="s">
        <v>236</v>
      </c>
      <c r="AG149" s="71" t="s">
        <v>204</v>
      </c>
      <c r="AH149" s="76" t="s">
        <v>217</v>
      </c>
      <c r="AK149" s="71" t="s">
        <v>198</v>
      </c>
      <c r="AL149" s="75" t="s">
        <v>225</v>
      </c>
      <c r="AM149" s="71"/>
      <c r="AN149" s="71"/>
      <c r="AO149" s="71"/>
      <c r="AP149" s="71"/>
      <c r="AQ149" s="71"/>
      <c r="AS149" s="71" t="s">
        <v>200</v>
      </c>
      <c r="AT149" s="75" t="s">
        <v>220</v>
      </c>
      <c r="AV149" s="75" t="s">
        <v>218</v>
      </c>
      <c r="AW149" s="75" t="s">
        <v>196</v>
      </c>
      <c r="AX149" s="75" t="str">
        <f t="shared" si="18"/>
        <v>JORGE ARMANDO PIEDRAHITA</v>
      </c>
      <c r="BA149" s="75" t="s">
        <v>206</v>
      </c>
      <c r="BB149" s="75" t="str">
        <f t="shared" si="20"/>
        <v>DEISY JULIETH GARCIA CASTAÑEDA</v>
      </c>
      <c r="BI149" s="75" t="s">
        <v>194</v>
      </c>
      <c r="BJ149" s="75" t="s">
        <v>545</v>
      </c>
      <c r="BL149" s="75" t="s">
        <v>254</v>
      </c>
      <c r="BP149" s="73" t="s">
        <v>379</v>
      </c>
      <c r="BQ149" s="78" t="str">
        <f t="shared" si="21"/>
        <v>INV FIS CUL</v>
      </c>
      <c r="BR149" s="78" t="str">
        <f t="shared" si="14"/>
        <v>INV CUL</v>
      </c>
      <c r="BS149" s="78" t="str">
        <f t="shared" si="16"/>
        <v>CUL</v>
      </c>
      <c r="BT149" s="78" t="str">
        <f>VLOOKUP(A149,[2]Hoja1!$A$2:$B$123,2,FALSE)</f>
        <v>BIL</v>
      </c>
      <c r="BU149" s="71">
        <v>30</v>
      </c>
      <c r="BV149" s="71" t="s">
        <v>534</v>
      </c>
      <c r="BW149" s="81">
        <f>VLOOKUP(A149,[2]PE04!$A$7:$A$328,1,FALSE)</f>
        <v>3118515</v>
      </c>
      <c r="BX149" s="81" t="str">
        <f>IFERROR(VLOOKUP( 5,[2]PE04!A74:G401,8,FALSE), "No encontrado")</f>
        <v>No encontrado</v>
      </c>
    </row>
    <row r="150" spans="1:76" ht="13.5" customHeight="1" x14ac:dyDescent="0.25">
      <c r="A150" s="70">
        <v>3134550</v>
      </c>
      <c r="B150" s="71" t="s">
        <v>245</v>
      </c>
      <c r="C150" s="71">
        <v>46</v>
      </c>
      <c r="D150" s="72" t="s">
        <v>271</v>
      </c>
      <c r="E150" s="73" t="s">
        <v>118</v>
      </c>
      <c r="F150" s="74">
        <f t="shared" si="17"/>
        <v>46273</v>
      </c>
      <c r="G150" s="73" t="s">
        <v>119</v>
      </c>
      <c r="H150" s="73" t="s">
        <v>282</v>
      </c>
      <c r="J150" s="71" t="s">
        <v>226</v>
      </c>
      <c r="M150" s="70" t="s">
        <v>283</v>
      </c>
      <c r="O150" s="71" t="s">
        <v>192</v>
      </c>
      <c r="P150" s="72" t="s">
        <v>283</v>
      </c>
      <c r="Q150" s="71" t="s">
        <v>274</v>
      </c>
      <c r="R150" s="71" t="s">
        <v>274</v>
      </c>
      <c r="U150" s="75"/>
      <c r="W150" s="75"/>
      <c r="Y150" s="75"/>
      <c r="AC150" s="75" t="s">
        <v>204</v>
      </c>
      <c r="AD150" s="71" t="s">
        <v>205</v>
      </c>
      <c r="AE150" s="71" t="s">
        <v>202</v>
      </c>
      <c r="AF150" s="71" t="s">
        <v>216</v>
      </c>
      <c r="AG150" s="71" t="s">
        <v>209</v>
      </c>
      <c r="AH150" s="76" t="s">
        <v>228</v>
      </c>
      <c r="AK150" s="71" t="s">
        <v>200</v>
      </c>
      <c r="AL150" s="75" t="s">
        <v>220</v>
      </c>
      <c r="AM150" s="71"/>
      <c r="AN150" s="71"/>
      <c r="AO150" s="71" t="s">
        <v>198</v>
      </c>
      <c r="AP150" s="71" t="s">
        <v>253</v>
      </c>
      <c r="AQ150" s="71"/>
      <c r="AS150" s="71" t="s">
        <v>194</v>
      </c>
      <c r="AT150" s="75" t="s">
        <v>195</v>
      </c>
      <c r="AV150" s="75" t="s">
        <v>218</v>
      </c>
      <c r="AW150" s="75" t="s">
        <v>208</v>
      </c>
      <c r="AX150" s="75" t="str">
        <f t="shared" si="18"/>
        <v>MARIA CAROLINA GOMEZ CALLE</v>
      </c>
      <c r="BE150" s="75" t="s">
        <v>196</v>
      </c>
      <c r="BF150" s="75" t="s">
        <v>267</v>
      </c>
      <c r="BI150" s="75" t="s">
        <v>206</v>
      </c>
      <c r="BJ150" s="75" t="s">
        <v>227</v>
      </c>
      <c r="BL150" s="75" t="s">
        <v>254</v>
      </c>
      <c r="BM150" s="75" t="s">
        <v>556</v>
      </c>
      <c r="BP150" s="73" t="s">
        <v>379</v>
      </c>
      <c r="BQ150" s="78" t="str">
        <f t="shared" si="21"/>
        <v>INV SST</v>
      </c>
      <c r="BR150" s="78" t="str">
        <f t="shared" si="14"/>
        <v>INV</v>
      </c>
      <c r="BS150" s="78" t="str">
        <f t="shared" si="16"/>
        <v/>
      </c>
      <c r="BT150" s="78" t="str">
        <f>VLOOKUP(A150,[2]Hoja1!$A$2:$B$123,2,FALSE)</f>
        <v>BIL</v>
      </c>
      <c r="BU150" s="71">
        <v>15</v>
      </c>
      <c r="BV150" s="71" t="s">
        <v>534</v>
      </c>
      <c r="BW150" s="81">
        <f>VLOOKUP(A150,[2]PE04!$A$7:$A$328,1,FALSE)</f>
        <v>3134550</v>
      </c>
      <c r="BX150" s="81" t="str">
        <f>IFERROR(VLOOKUP( 5,[2]PE04!A75:G402,8,FALSE), "No encontrado")</f>
        <v>No encontrado</v>
      </c>
    </row>
    <row r="151" spans="1:76" ht="13.5" customHeight="1" x14ac:dyDescent="0.25">
      <c r="A151" s="70">
        <v>3134586</v>
      </c>
      <c r="B151" s="71" t="s">
        <v>245</v>
      </c>
      <c r="C151" s="71">
        <v>39</v>
      </c>
      <c r="D151" s="72" t="s">
        <v>99</v>
      </c>
      <c r="E151" s="73" t="s">
        <v>118</v>
      </c>
      <c r="F151" s="74">
        <f t="shared" si="17"/>
        <v>46273</v>
      </c>
      <c r="G151" s="73" t="s">
        <v>119</v>
      </c>
      <c r="H151" s="73" t="s">
        <v>356</v>
      </c>
      <c r="J151" s="71" t="s">
        <v>261</v>
      </c>
      <c r="M151" s="70" t="s">
        <v>261</v>
      </c>
      <c r="O151" s="71" t="s">
        <v>329</v>
      </c>
      <c r="P151" s="72" t="s">
        <v>261</v>
      </c>
      <c r="Q151" s="71" t="s">
        <v>263</v>
      </c>
      <c r="R151" s="71" t="s">
        <v>263</v>
      </c>
      <c r="U151" s="75"/>
      <c r="W151" s="75"/>
      <c r="Y151" s="75"/>
      <c r="AC151" s="75"/>
      <c r="AE151" s="71" t="s">
        <v>209</v>
      </c>
      <c r="AF151" s="71" t="s">
        <v>226</v>
      </c>
      <c r="AG151" s="71" t="s">
        <v>198</v>
      </c>
      <c r="AH151" s="76" t="s">
        <v>199</v>
      </c>
      <c r="AK151" s="71"/>
      <c r="AL151" s="75" t="s">
        <v>218</v>
      </c>
      <c r="AM151" s="71"/>
      <c r="AN151" s="71"/>
      <c r="AO151" s="71" t="s">
        <v>204</v>
      </c>
      <c r="AP151" s="71" t="s">
        <v>221</v>
      </c>
      <c r="AQ151" s="71"/>
      <c r="AS151" s="71" t="s">
        <v>202</v>
      </c>
      <c r="AT151" s="75" t="s">
        <v>203</v>
      </c>
      <c r="AV151" s="75" t="s">
        <v>218</v>
      </c>
      <c r="AW151" s="75" t="s">
        <v>200</v>
      </c>
      <c r="AX151" s="75" t="str">
        <f t="shared" si="18"/>
        <v>ELKIN DURAN MANCIPE</v>
      </c>
      <c r="BA151" s="75" t="s">
        <v>208</v>
      </c>
      <c r="BB151" s="75" t="str">
        <f>VLOOKUP(A151,_p8_2025,2,FALSE)</f>
        <v>HECTOR ANDRES CIPAMOCHA CENTENO</v>
      </c>
      <c r="BE151" s="75" t="s">
        <v>196</v>
      </c>
      <c r="BF151" s="75" t="s">
        <v>267</v>
      </c>
      <c r="BI151" s="75" t="s">
        <v>206</v>
      </c>
      <c r="BJ151" s="75" t="s">
        <v>207</v>
      </c>
      <c r="BL151" s="75" t="s">
        <v>194</v>
      </c>
      <c r="BM151" s="75" t="s">
        <v>545</v>
      </c>
      <c r="BP151" s="73" t="s">
        <v>379</v>
      </c>
      <c r="BQ151" s="78" t="str">
        <f t="shared" si="21"/>
        <v>SST INV FIS</v>
      </c>
      <c r="BR151" s="78" t="str">
        <f t="shared" si="14"/>
        <v>INV FIS</v>
      </c>
      <c r="BS151" s="78" t="str">
        <f t="shared" si="16"/>
        <v>INV</v>
      </c>
      <c r="BT151" s="78" t="str">
        <f>VLOOKUP(A151,[2]Hoja1!$A$2:$B$123,2,FALSE)</f>
        <v>BIL</v>
      </c>
      <c r="BU151" s="71">
        <v>22</v>
      </c>
      <c r="BV151" s="71" t="s">
        <v>534</v>
      </c>
      <c r="BW151" s="81">
        <f>VLOOKUP(A151,[2]PE04!$A$7:$A$328,1,FALSE)</f>
        <v>3134586</v>
      </c>
      <c r="BX151" s="81" t="str">
        <f>IFERROR(VLOOKUP( 5,[2]PE04!A76:G403,8,FALSE), "No encontrado")</f>
        <v>No encontrado</v>
      </c>
    </row>
    <row r="152" spans="1:76" ht="13.5" customHeight="1" x14ac:dyDescent="0.25">
      <c r="A152" s="70">
        <v>3134618</v>
      </c>
      <c r="B152" s="71" t="s">
        <v>245</v>
      </c>
      <c r="C152" s="71">
        <v>44</v>
      </c>
      <c r="D152" s="72" t="s">
        <v>99</v>
      </c>
      <c r="E152" s="73" t="s">
        <v>118</v>
      </c>
      <c r="F152" s="74">
        <f t="shared" si="17"/>
        <v>46273</v>
      </c>
      <c r="G152" s="73" t="s">
        <v>119</v>
      </c>
      <c r="H152" s="73" t="s">
        <v>356</v>
      </c>
      <c r="J152" s="71" t="s">
        <v>261</v>
      </c>
      <c r="M152" s="70" t="s">
        <v>261</v>
      </c>
      <c r="O152" s="71" t="s">
        <v>329</v>
      </c>
      <c r="P152" s="72" t="s">
        <v>261</v>
      </c>
      <c r="Q152" s="71" t="s">
        <v>263</v>
      </c>
      <c r="R152" s="71" t="s">
        <v>263</v>
      </c>
      <c r="U152" s="75"/>
      <c r="W152" s="75"/>
      <c r="Y152" s="75"/>
      <c r="AC152" s="75"/>
      <c r="AE152" s="71" t="s">
        <v>209</v>
      </c>
      <c r="AF152" s="71" t="s">
        <v>226</v>
      </c>
      <c r="AG152" s="71" t="s">
        <v>198</v>
      </c>
      <c r="AH152" s="76" t="s">
        <v>299</v>
      </c>
      <c r="AK152" s="71"/>
      <c r="AL152" s="75" t="s">
        <v>218</v>
      </c>
      <c r="AM152" s="71"/>
      <c r="AN152" s="71"/>
      <c r="AO152" s="71" t="s">
        <v>204</v>
      </c>
      <c r="AP152" s="71" t="s">
        <v>221</v>
      </c>
      <c r="AQ152" s="71"/>
      <c r="AS152" s="71" t="s">
        <v>202</v>
      </c>
      <c r="AT152" s="75" t="s">
        <v>203</v>
      </c>
      <c r="AV152" s="75" t="s">
        <v>218</v>
      </c>
      <c r="AW152" s="75" t="s">
        <v>200</v>
      </c>
      <c r="AX152" s="75" t="str">
        <f t="shared" si="18"/>
        <v>WILDER JULIAN ARIAS HERNANDEZ</v>
      </c>
      <c r="BA152" s="75" t="s">
        <v>208</v>
      </c>
      <c r="BB152" s="75" t="str">
        <f>VLOOKUP(A152,_p8_2025,2,FALSE)</f>
        <v>HECTOR ANDRES CIPAMOCHA CENTENO</v>
      </c>
      <c r="BE152" s="75" t="s">
        <v>196</v>
      </c>
      <c r="BF152" s="75" t="s">
        <v>267</v>
      </c>
      <c r="BI152" s="75" t="s">
        <v>206</v>
      </c>
      <c r="BJ152" s="75" t="s">
        <v>555</v>
      </c>
      <c r="BL152" s="75" t="s">
        <v>194</v>
      </c>
      <c r="BM152" s="75" t="s">
        <v>545</v>
      </c>
      <c r="BP152" s="73" t="s">
        <v>379</v>
      </c>
      <c r="BQ152" s="78" t="str">
        <f t="shared" si="21"/>
        <v>SST INV FIS</v>
      </c>
      <c r="BR152" s="78" t="str">
        <f t="shared" si="14"/>
        <v>INV FIS</v>
      </c>
      <c r="BS152" s="78" t="str">
        <f t="shared" si="16"/>
        <v>INV</v>
      </c>
      <c r="BT152" s="78" t="str">
        <f>VLOOKUP(A152,[2]Hoja1!$A$2:$B$123,2,FALSE)</f>
        <v>BIL</v>
      </c>
      <c r="BU152" s="71">
        <v>20</v>
      </c>
      <c r="BV152" s="71" t="s">
        <v>534</v>
      </c>
      <c r="BW152" s="81">
        <f>VLOOKUP(A152,[2]PE04!$A$7:$A$328,1,FALSE)</f>
        <v>3134618</v>
      </c>
      <c r="BX152" s="81" t="str">
        <f>IFERROR(VLOOKUP( 5,[2]PE04!A77:G404,8,FALSE), "No encontrado")</f>
        <v>No encontrado</v>
      </c>
    </row>
    <row r="153" spans="1:76" ht="13.5" customHeight="1" x14ac:dyDescent="0.25">
      <c r="A153" s="70">
        <v>3134621</v>
      </c>
      <c r="B153" s="71" t="s">
        <v>245</v>
      </c>
      <c r="C153" s="71">
        <v>41</v>
      </c>
      <c r="D153" s="72" t="s">
        <v>271</v>
      </c>
      <c r="E153" s="73" t="s">
        <v>118</v>
      </c>
      <c r="F153" s="74">
        <f t="shared" si="17"/>
        <v>46273</v>
      </c>
      <c r="G153" s="73" t="s">
        <v>119</v>
      </c>
      <c r="H153" s="73" t="s">
        <v>282</v>
      </c>
      <c r="J153" s="71" t="s">
        <v>226</v>
      </c>
      <c r="M153" s="70" t="s">
        <v>283</v>
      </c>
      <c r="O153" s="71" t="s">
        <v>192</v>
      </c>
      <c r="P153" s="72" t="s">
        <v>283</v>
      </c>
      <c r="Q153" s="71" t="s">
        <v>274</v>
      </c>
      <c r="R153" s="71" t="s">
        <v>274</v>
      </c>
      <c r="U153" s="75"/>
      <c r="W153" s="75"/>
      <c r="Y153" s="75"/>
      <c r="AC153" s="75" t="s">
        <v>204</v>
      </c>
      <c r="AD153" s="71" t="s">
        <v>221</v>
      </c>
      <c r="AE153" s="71" t="s">
        <v>202</v>
      </c>
      <c r="AF153" s="71" t="s">
        <v>216</v>
      </c>
      <c r="AG153" s="71" t="s">
        <v>209</v>
      </c>
      <c r="AH153" s="76" t="s">
        <v>228</v>
      </c>
      <c r="AK153" s="71" t="s">
        <v>200</v>
      </c>
      <c r="AL153" s="75" t="s">
        <v>214</v>
      </c>
      <c r="AM153" s="71"/>
      <c r="AN153" s="71"/>
      <c r="AO153" s="71" t="s">
        <v>198</v>
      </c>
      <c r="AP153" s="71" t="s">
        <v>199</v>
      </c>
      <c r="AQ153" s="71"/>
      <c r="AS153" s="71" t="s">
        <v>194</v>
      </c>
      <c r="AT153" s="75" t="s">
        <v>195</v>
      </c>
      <c r="AV153" s="75" t="s">
        <v>218</v>
      </c>
      <c r="AW153" s="75" t="s">
        <v>208</v>
      </c>
      <c r="AX153" s="75" t="str">
        <f t="shared" si="18"/>
        <v>LAURA STHEPHANIA SANCHEZ PABON</v>
      </c>
      <c r="BE153" s="75" t="s">
        <v>196</v>
      </c>
      <c r="BF153" s="75" t="s">
        <v>267</v>
      </c>
      <c r="BI153" s="75" t="s">
        <v>206</v>
      </c>
      <c r="BJ153" s="75" t="s">
        <v>207</v>
      </c>
      <c r="BL153" s="75" t="s">
        <v>254</v>
      </c>
      <c r="BM153" s="75" t="s">
        <v>556</v>
      </c>
      <c r="BP153" s="73" t="s">
        <v>379</v>
      </c>
      <c r="BQ153" s="78" t="str">
        <f t="shared" si="21"/>
        <v>INV SST</v>
      </c>
      <c r="BR153" s="78" t="str">
        <f t="shared" si="14"/>
        <v>INV</v>
      </c>
      <c r="BS153" s="78" t="str">
        <f t="shared" si="16"/>
        <v/>
      </c>
      <c r="BT153" s="78" t="str">
        <f>VLOOKUP(A153,[2]Hoja1!$A$2:$B$123,2,FALSE)</f>
        <v>BIL</v>
      </c>
      <c r="BU153" s="71">
        <v>13</v>
      </c>
      <c r="BV153" s="71" t="s">
        <v>534</v>
      </c>
      <c r="BW153" s="81">
        <f>VLOOKUP(A153,[2]PE04!$A$7:$A$328,1,FALSE)</f>
        <v>3134621</v>
      </c>
      <c r="BX153" s="81" t="str">
        <f>IFERROR(VLOOKUP( 5,[2]PE04!A78:G405,8,FALSE), "No encontrado")</f>
        <v>No encontrado</v>
      </c>
    </row>
    <row r="154" spans="1:76" ht="13.5" customHeight="1" x14ac:dyDescent="0.25">
      <c r="A154" s="70">
        <v>3134622</v>
      </c>
      <c r="B154" s="71" t="s">
        <v>245</v>
      </c>
      <c r="C154" s="71">
        <v>43</v>
      </c>
      <c r="D154" s="72" t="s">
        <v>271</v>
      </c>
      <c r="E154" s="73" t="s">
        <v>118</v>
      </c>
      <c r="F154" s="74">
        <f t="shared" si="17"/>
        <v>46273</v>
      </c>
      <c r="G154" s="73" t="s">
        <v>119</v>
      </c>
      <c r="H154" s="73" t="s">
        <v>282</v>
      </c>
      <c r="J154" s="71" t="s">
        <v>226</v>
      </c>
      <c r="M154" s="70" t="s">
        <v>283</v>
      </c>
      <c r="O154" s="71" t="s">
        <v>192</v>
      </c>
      <c r="P154" s="72" t="s">
        <v>387</v>
      </c>
      <c r="Q154" s="71" t="s">
        <v>274</v>
      </c>
      <c r="R154" s="71" t="s">
        <v>274</v>
      </c>
      <c r="U154" s="75"/>
      <c r="W154" s="75"/>
      <c r="Y154" s="75"/>
      <c r="AC154" s="75"/>
      <c r="AE154" s="71" t="s">
        <v>202</v>
      </c>
      <c r="AF154" s="71" t="s">
        <v>216</v>
      </c>
      <c r="AG154" s="71" t="s">
        <v>200</v>
      </c>
      <c r="AH154" s="76" t="s">
        <v>220</v>
      </c>
      <c r="AK154" s="71" t="s">
        <v>198</v>
      </c>
      <c r="AL154" s="75" t="s">
        <v>225</v>
      </c>
      <c r="AM154" s="71"/>
      <c r="AN154" s="71"/>
      <c r="AO154" s="71" t="s">
        <v>204</v>
      </c>
      <c r="AP154" s="71" t="s">
        <v>221</v>
      </c>
      <c r="AQ154" s="71"/>
      <c r="AS154" s="71" t="s">
        <v>194</v>
      </c>
      <c r="AT154" s="75" t="s">
        <v>195</v>
      </c>
      <c r="AV154" s="75" t="s">
        <v>218</v>
      </c>
      <c r="AW154" s="75" t="s">
        <v>208</v>
      </c>
      <c r="AX154" s="75" t="str">
        <f t="shared" ref="AX154:AX182" si="22">IFERROR(VLOOKUP(A154,_p7_2025,2,FALSE),"")</f>
        <v>HECTOR ANDRES CIPAMOCHA CENTENO</v>
      </c>
      <c r="BA154" s="75" t="s">
        <v>209</v>
      </c>
      <c r="BB154" s="75" t="str">
        <f t="shared" ref="BB154:BB165" si="23">VLOOKUP(A154,_p8_2025,2,FALSE)</f>
        <v>ALBERTO ANTONIO TAPIA TORRES</v>
      </c>
      <c r="BE154" s="75" t="s">
        <v>196</v>
      </c>
      <c r="BF154" s="75" t="s">
        <v>267</v>
      </c>
      <c r="BI154" s="75" t="s">
        <v>206</v>
      </c>
      <c r="BJ154" s="75" t="s">
        <v>207</v>
      </c>
      <c r="BL154" s="75" t="s">
        <v>254</v>
      </c>
      <c r="BM154" s="75" t="s">
        <v>556</v>
      </c>
      <c r="BP154" s="73" t="s">
        <v>379</v>
      </c>
      <c r="BQ154" s="78" t="str">
        <f t="shared" si="21"/>
        <v>INV SST</v>
      </c>
      <c r="BR154" s="78" t="str">
        <f t="shared" si="14"/>
        <v>INV</v>
      </c>
      <c r="BS154" s="78" t="str">
        <f t="shared" si="16"/>
        <v/>
      </c>
      <c r="BT154" s="78" t="str">
        <f>VLOOKUP(A154,[2]Hoja1!$A$2:$B$123,2,FALSE)</f>
        <v>BIL</v>
      </c>
      <c r="BU154" s="71">
        <v>15</v>
      </c>
      <c r="BV154" s="71" t="s">
        <v>534</v>
      </c>
      <c r="BW154" s="81">
        <f>VLOOKUP(A154,[2]PE04!$A$7:$A$328,1,FALSE)</f>
        <v>3134622</v>
      </c>
      <c r="BX154" s="81" t="str">
        <f>IFERROR(VLOOKUP( 5,[2]PE04!A79:G406,8,FALSE), "No encontrado")</f>
        <v>No encontrado</v>
      </c>
    </row>
    <row r="155" spans="1:76" ht="13.5" customHeight="1" x14ac:dyDescent="0.25">
      <c r="A155" s="70">
        <v>3134623</v>
      </c>
      <c r="B155" s="71" t="s">
        <v>245</v>
      </c>
      <c r="C155" s="71">
        <v>41</v>
      </c>
      <c r="D155" s="72" t="s">
        <v>271</v>
      </c>
      <c r="E155" s="73" t="s">
        <v>118</v>
      </c>
      <c r="F155" s="74">
        <f t="shared" si="17"/>
        <v>46273</v>
      </c>
      <c r="G155" s="73" t="s">
        <v>119</v>
      </c>
      <c r="H155" s="73" t="s">
        <v>282</v>
      </c>
      <c r="J155" s="71" t="s">
        <v>226</v>
      </c>
      <c r="M155" s="70" t="s">
        <v>283</v>
      </c>
      <c r="O155" s="71" t="s">
        <v>192</v>
      </c>
      <c r="P155" s="72" t="s">
        <v>387</v>
      </c>
      <c r="Q155" s="71" t="s">
        <v>274</v>
      </c>
      <c r="R155" s="71" t="s">
        <v>274</v>
      </c>
      <c r="U155" s="75"/>
      <c r="W155" s="75"/>
      <c r="Y155" s="75"/>
      <c r="AC155" s="75" t="s">
        <v>204</v>
      </c>
      <c r="AD155" s="71" t="s">
        <v>205</v>
      </c>
      <c r="AE155" s="71" t="s">
        <v>202</v>
      </c>
      <c r="AF155" s="71" t="s">
        <v>216</v>
      </c>
      <c r="AG155" s="71" t="s">
        <v>200</v>
      </c>
      <c r="AH155" s="76" t="s">
        <v>214</v>
      </c>
      <c r="AK155" s="71" t="s">
        <v>198</v>
      </c>
      <c r="AL155" s="75" t="s">
        <v>225</v>
      </c>
      <c r="AM155" s="71"/>
      <c r="AN155" s="71"/>
      <c r="AO155" s="71" t="s">
        <v>196</v>
      </c>
      <c r="AP155" s="71" t="s">
        <v>267</v>
      </c>
      <c r="AQ155" s="71"/>
      <c r="AS155" s="71" t="s">
        <v>209</v>
      </c>
      <c r="AT155" s="75" t="s">
        <v>226</v>
      </c>
      <c r="AV155" s="75" t="s">
        <v>218</v>
      </c>
      <c r="AW155" s="75" t="s">
        <v>254</v>
      </c>
      <c r="AX155" s="75" t="str">
        <f t="shared" si="22"/>
        <v>CINDY YOHANA BOHORQUEZ GARZON</v>
      </c>
      <c r="BA155" s="75" t="s">
        <v>194</v>
      </c>
      <c r="BB155" s="75" t="str">
        <f t="shared" si="23"/>
        <v>CAMILO ERNESTO CALDERON GALINDO</v>
      </c>
      <c r="BE155" s="75" t="s">
        <v>208</v>
      </c>
      <c r="BF155" s="75" t="s">
        <v>278</v>
      </c>
      <c r="BI155" s="75" t="s">
        <v>206</v>
      </c>
      <c r="BJ155" s="75" t="s">
        <v>227</v>
      </c>
      <c r="BP155" s="73" t="s">
        <v>379</v>
      </c>
      <c r="BQ155" s="78" t="str">
        <f t="shared" si="21"/>
        <v>SST</v>
      </c>
      <c r="BR155" s="78" t="str">
        <f t="shared" si="14"/>
        <v/>
      </c>
      <c r="BS155" s="78" t="str">
        <f t="shared" si="16"/>
        <v/>
      </c>
      <c r="BT155" s="78" t="str">
        <f>VLOOKUP(A155,[2]Hoja1!$A$2:$B$123,2,FALSE)</f>
        <v>BIL</v>
      </c>
      <c r="BU155" s="71">
        <v>18</v>
      </c>
      <c r="BV155" s="71" t="s">
        <v>534</v>
      </c>
      <c r="BW155" s="81">
        <f>VLOOKUP(A155,[2]PE04!$A$7:$A$328,1,FALSE)</f>
        <v>3134623</v>
      </c>
      <c r="BX155" s="81" t="str">
        <f>IFERROR(VLOOKUP( 5,[2]PE04!A80:G407,8,FALSE), "No encontrado")</f>
        <v>No encontrado</v>
      </c>
    </row>
    <row r="156" spans="1:76" ht="13.5" customHeight="1" x14ac:dyDescent="0.25">
      <c r="A156" s="70">
        <v>3185927</v>
      </c>
      <c r="B156" s="71" t="s">
        <v>245</v>
      </c>
      <c r="C156" s="71">
        <v>62</v>
      </c>
      <c r="D156" s="72" t="s">
        <v>101</v>
      </c>
      <c r="E156" s="73" t="s">
        <v>88</v>
      </c>
      <c r="F156" s="74">
        <f t="shared" si="17"/>
        <v>46386</v>
      </c>
      <c r="G156" s="73" t="s">
        <v>120</v>
      </c>
      <c r="H156" s="73"/>
      <c r="K156" s="71" t="s">
        <v>377</v>
      </c>
      <c r="M156" s="70" t="s">
        <v>377</v>
      </c>
      <c r="O156" s="71" t="s">
        <v>300</v>
      </c>
      <c r="P156" s="72" t="s">
        <v>211</v>
      </c>
      <c r="Q156" s="71" t="s">
        <v>297</v>
      </c>
      <c r="U156" s="75"/>
      <c r="W156" s="75"/>
      <c r="Y156" s="75"/>
      <c r="AC156" s="75"/>
      <c r="AG156" s="71" t="s">
        <v>208</v>
      </c>
      <c r="AH156" s="76" t="s">
        <v>278</v>
      </c>
      <c r="AK156" s="71" t="s">
        <v>254</v>
      </c>
      <c r="AL156" s="75" t="s">
        <v>255</v>
      </c>
      <c r="AM156" s="71"/>
      <c r="AN156" s="71"/>
      <c r="AO156" s="71" t="s">
        <v>196</v>
      </c>
      <c r="AP156" s="71" t="s">
        <v>244</v>
      </c>
      <c r="AQ156" s="71"/>
      <c r="AS156" s="71" t="s">
        <v>198</v>
      </c>
      <c r="AT156" s="75" t="s">
        <v>225</v>
      </c>
      <c r="AV156" s="75" t="s">
        <v>218</v>
      </c>
      <c r="AW156" s="75" t="s">
        <v>204</v>
      </c>
      <c r="AX156" s="75" t="str">
        <f t="shared" si="22"/>
        <v>OLGA STELLA PARDO SARAY</v>
      </c>
      <c r="BA156" s="75" t="s">
        <v>200</v>
      </c>
      <c r="BB156" s="75" t="str">
        <f t="shared" si="23"/>
        <v>WILDER JULIAN ARIAS HERNANDEZ</v>
      </c>
      <c r="BE156" s="75" t="s">
        <v>209</v>
      </c>
      <c r="BF156" s="75" t="s">
        <v>236</v>
      </c>
      <c r="BG156" s="75" t="s">
        <v>202</v>
      </c>
      <c r="BH156" s="75" t="s">
        <v>203</v>
      </c>
      <c r="BI156" s="75" t="s">
        <v>242</v>
      </c>
      <c r="BJ156" s="75" t="s">
        <v>243</v>
      </c>
      <c r="BL156" s="75" t="s">
        <v>206</v>
      </c>
      <c r="BM156" s="75" t="s">
        <v>207</v>
      </c>
      <c r="BP156" s="73" t="s">
        <v>379</v>
      </c>
      <c r="BQ156" s="78" t="str">
        <f t="shared" si="21"/>
        <v>CIE SST</v>
      </c>
      <c r="BR156" s="78" t="str">
        <f t="shared" si="14"/>
        <v>SST</v>
      </c>
      <c r="BS156" s="78" t="str">
        <f t="shared" si="16"/>
        <v/>
      </c>
      <c r="BT156" s="78" t="str">
        <f>VLOOKUP(A156,[2]Hoja1!$A$2:$B$123,2,FALSE)</f>
        <v>BIL</v>
      </c>
      <c r="BU156" s="71">
        <v>31</v>
      </c>
      <c r="BV156" s="71" t="s">
        <v>534</v>
      </c>
      <c r="BW156" s="81">
        <f>VLOOKUP(A156,[2]PE04!$A$7:$A$328,1,FALSE)</f>
        <v>3185927</v>
      </c>
      <c r="BX156" s="81" t="str">
        <f>IFERROR(VLOOKUP( 5,[2]PE04!A81:G408,8,FALSE), "No encontrado")</f>
        <v>No encontrado</v>
      </c>
    </row>
    <row r="157" spans="1:76" ht="13.5" customHeight="1" x14ac:dyDescent="0.25">
      <c r="A157" s="70">
        <v>3185928</v>
      </c>
      <c r="B157" s="71" t="s">
        <v>245</v>
      </c>
      <c r="C157" s="71">
        <v>66</v>
      </c>
      <c r="D157" s="72" t="s">
        <v>101</v>
      </c>
      <c r="E157" s="73" t="s">
        <v>88</v>
      </c>
      <c r="F157" s="74">
        <f t="shared" si="17"/>
        <v>46386</v>
      </c>
      <c r="G157" s="73" t="s">
        <v>120</v>
      </c>
      <c r="H157" s="73"/>
      <c r="K157" s="71" t="s">
        <v>377</v>
      </c>
      <c r="M157" s="70" t="s">
        <v>381</v>
      </c>
      <c r="O157" s="71" t="s">
        <v>300</v>
      </c>
      <c r="P157" s="72" t="s">
        <v>381</v>
      </c>
      <c r="Q157" s="71" t="s">
        <v>297</v>
      </c>
      <c r="U157" s="75"/>
      <c r="W157" s="75"/>
      <c r="Y157" s="75"/>
      <c r="AC157" s="75"/>
      <c r="AG157" s="71" t="s">
        <v>208</v>
      </c>
      <c r="AH157" s="76" t="s">
        <v>235</v>
      </c>
      <c r="AK157" s="71" t="s">
        <v>254</v>
      </c>
      <c r="AL157" s="75" t="s">
        <v>255</v>
      </c>
      <c r="AM157" s="71"/>
      <c r="AN157" s="71"/>
      <c r="AO157" s="71" t="s">
        <v>196</v>
      </c>
      <c r="AP157" s="71" t="s">
        <v>267</v>
      </c>
      <c r="AQ157" s="71"/>
      <c r="AS157" s="71" t="s">
        <v>198</v>
      </c>
      <c r="AT157" s="75" t="s">
        <v>253</v>
      </c>
      <c r="AV157" s="75" t="s">
        <v>218</v>
      </c>
      <c r="AW157" s="75" t="s">
        <v>204</v>
      </c>
      <c r="AX157" s="75" t="str">
        <f t="shared" si="22"/>
        <v>IVAN DARIO RODRIGUEZ BUSTAMANTE</v>
      </c>
      <c r="BA157" s="75" t="s">
        <v>200</v>
      </c>
      <c r="BB157" s="75" t="str">
        <f t="shared" si="23"/>
        <v>WILDER JULIAN ARIAS HERNANDEZ</v>
      </c>
      <c r="BE157" s="75" t="s">
        <v>209</v>
      </c>
      <c r="BF157" s="75" t="s">
        <v>236</v>
      </c>
      <c r="BG157" s="75" t="s">
        <v>202</v>
      </c>
      <c r="BH157" s="75" t="s">
        <v>203</v>
      </c>
      <c r="BI157" s="75" t="s">
        <v>242</v>
      </c>
      <c r="BJ157" s="75" t="s">
        <v>243</v>
      </c>
      <c r="BL157" s="75" t="s">
        <v>206</v>
      </c>
      <c r="BM157" s="75" t="s">
        <v>207</v>
      </c>
      <c r="BP157" s="73" t="s">
        <v>379</v>
      </c>
      <c r="BQ157" s="78" t="str">
        <f t="shared" si="21"/>
        <v>CIE SST</v>
      </c>
      <c r="BR157" s="78" t="str">
        <f t="shared" si="14"/>
        <v>SST</v>
      </c>
      <c r="BS157" s="78" t="str">
        <f t="shared" si="16"/>
        <v/>
      </c>
      <c r="BT157" s="78" t="str">
        <f>VLOOKUP(A157,[2]Hoja1!$A$2:$B$123,2,FALSE)</f>
        <v>BIL</v>
      </c>
      <c r="BU157" s="71">
        <v>26</v>
      </c>
      <c r="BV157" s="71" t="s">
        <v>534</v>
      </c>
      <c r="BW157" s="81">
        <f>VLOOKUP(A157,[2]PE04!$A$7:$A$328,1,FALSE)</f>
        <v>3185928</v>
      </c>
      <c r="BX157" s="81" t="str">
        <f>IFERROR(VLOOKUP( 5,[2]PE04!A82:G409,8,FALSE), "No encontrado")</f>
        <v>No encontrado</v>
      </c>
    </row>
    <row r="158" spans="1:76" ht="13.5" customHeight="1" x14ac:dyDescent="0.25">
      <c r="A158" s="70">
        <v>3185929</v>
      </c>
      <c r="B158" s="71" t="s">
        <v>245</v>
      </c>
      <c r="C158" s="71">
        <v>53</v>
      </c>
      <c r="D158" s="72" t="s">
        <v>101</v>
      </c>
      <c r="E158" s="73" t="s">
        <v>88</v>
      </c>
      <c r="F158" s="74">
        <f t="shared" si="17"/>
        <v>46386</v>
      </c>
      <c r="G158" s="73" t="s">
        <v>120</v>
      </c>
      <c r="H158" s="73"/>
      <c r="K158" s="71" t="s">
        <v>377</v>
      </c>
      <c r="M158" s="70" t="s">
        <v>381</v>
      </c>
      <c r="O158" s="71" t="s">
        <v>300</v>
      </c>
      <c r="P158" s="72" t="s">
        <v>381</v>
      </c>
      <c r="Q158" s="71" t="s">
        <v>297</v>
      </c>
      <c r="U158" s="75"/>
      <c r="W158" s="75"/>
      <c r="Y158" s="75"/>
      <c r="AC158" s="75"/>
      <c r="AG158" s="71" t="s">
        <v>208</v>
      </c>
      <c r="AH158" s="76" t="s">
        <v>239</v>
      </c>
      <c r="AK158" s="71" t="s">
        <v>254</v>
      </c>
      <c r="AL158" s="75" t="s">
        <v>255</v>
      </c>
      <c r="AM158" s="71"/>
      <c r="AN158" s="71"/>
      <c r="AO158" s="71" t="s">
        <v>196</v>
      </c>
      <c r="AP158" s="71" t="s">
        <v>267</v>
      </c>
      <c r="AQ158" s="71"/>
      <c r="AS158" s="71" t="s">
        <v>198</v>
      </c>
      <c r="AT158" s="75" t="s">
        <v>225</v>
      </c>
      <c r="AV158" s="75" t="s">
        <v>218</v>
      </c>
      <c r="AW158" s="75" t="s">
        <v>204</v>
      </c>
      <c r="AX158" s="75" t="str">
        <f t="shared" si="22"/>
        <v>NELSON ALFREDO VARGAS MORA</v>
      </c>
      <c r="BA158" s="75" t="s">
        <v>200</v>
      </c>
      <c r="BB158" s="75" t="str">
        <f t="shared" si="23"/>
        <v>JULIANA HERNANDEZ BARRERA</v>
      </c>
      <c r="BE158" s="75" t="s">
        <v>209</v>
      </c>
      <c r="BF158" s="75" t="s">
        <v>228</v>
      </c>
      <c r="BI158" s="75" t="s">
        <v>206</v>
      </c>
      <c r="BJ158" s="75" t="s">
        <v>555</v>
      </c>
      <c r="BL158" s="75" t="s">
        <v>242</v>
      </c>
      <c r="BM158" s="75" t="s">
        <v>243</v>
      </c>
      <c r="BP158" s="73" t="s">
        <v>382</v>
      </c>
      <c r="BQ158" s="78" t="str">
        <f t="shared" si="21"/>
        <v>CIE SST CUL</v>
      </c>
      <c r="BR158" s="78" t="str">
        <f t="shared" si="14"/>
        <v>CIE CUL</v>
      </c>
      <c r="BS158" s="78" t="str">
        <f t="shared" si="16"/>
        <v>CUL</v>
      </c>
      <c r="BT158" s="78" t="str">
        <f>VLOOKUP(A158,[2]Hoja1!$A$2:$B$123,2,FALSE)</f>
        <v>BIL</v>
      </c>
      <c r="BU158" s="71">
        <v>24</v>
      </c>
      <c r="BV158" s="71" t="s">
        <v>534</v>
      </c>
      <c r="BW158" s="81">
        <f>VLOOKUP(A158,[2]PE04!$A$7:$A$328,1,FALSE)</f>
        <v>3185929</v>
      </c>
      <c r="BX158" s="81" t="str">
        <f>IFERROR(VLOOKUP( 5,[2]PE04!A83:G410,8,FALSE), "No encontrado")</f>
        <v>No encontrado</v>
      </c>
    </row>
    <row r="159" spans="1:76" ht="13.5" customHeight="1" x14ac:dyDescent="0.25">
      <c r="A159" s="70">
        <v>3185930</v>
      </c>
      <c r="B159" s="71" t="s">
        <v>245</v>
      </c>
      <c r="C159" s="71">
        <v>61</v>
      </c>
      <c r="D159" s="72" t="s">
        <v>101</v>
      </c>
      <c r="E159" s="73" t="s">
        <v>88</v>
      </c>
      <c r="F159" s="74">
        <f t="shared" si="17"/>
        <v>46386</v>
      </c>
      <c r="G159" s="73" t="s">
        <v>120</v>
      </c>
      <c r="H159" s="73"/>
      <c r="K159" s="71" t="s">
        <v>383</v>
      </c>
      <c r="M159" s="70" t="s">
        <v>381</v>
      </c>
      <c r="O159" s="71" t="s">
        <v>300</v>
      </c>
      <c r="P159" s="72" t="s">
        <v>381</v>
      </c>
      <c r="Q159" s="71" t="s">
        <v>297</v>
      </c>
      <c r="U159" s="75"/>
      <c r="W159" s="75"/>
      <c r="Y159" s="75"/>
      <c r="AC159" s="75"/>
      <c r="AG159" s="71" t="s">
        <v>208</v>
      </c>
      <c r="AH159" s="76" t="s">
        <v>239</v>
      </c>
      <c r="AK159" s="71" t="s">
        <v>254</v>
      </c>
      <c r="AL159" s="75" t="s">
        <v>255</v>
      </c>
      <c r="AM159" s="71"/>
      <c r="AN159" s="71"/>
      <c r="AO159" s="71" t="s">
        <v>196</v>
      </c>
      <c r="AP159" s="71" t="s">
        <v>244</v>
      </c>
      <c r="AQ159" s="71"/>
      <c r="AS159" s="71" t="s">
        <v>198</v>
      </c>
      <c r="AT159" s="75" t="s">
        <v>199</v>
      </c>
      <c r="AV159" s="75" t="s">
        <v>218</v>
      </c>
      <c r="AW159" s="75" t="s">
        <v>204</v>
      </c>
      <c r="AX159" s="75" t="str">
        <f t="shared" si="22"/>
        <v>NELSON ALFREDO VARGAS MORA</v>
      </c>
      <c r="BA159" s="75" t="s">
        <v>200</v>
      </c>
      <c r="BB159" s="75" t="str">
        <f t="shared" si="23"/>
        <v>JULIANA HERNANDEZ BARRERA</v>
      </c>
      <c r="BE159" s="75" t="s">
        <v>209</v>
      </c>
      <c r="BF159" s="75" t="s">
        <v>228</v>
      </c>
      <c r="BI159" s="75" t="s">
        <v>206</v>
      </c>
      <c r="BJ159" s="75" t="s">
        <v>555</v>
      </c>
      <c r="BL159" s="75" t="s">
        <v>242</v>
      </c>
      <c r="BM159" s="75" t="s">
        <v>243</v>
      </c>
      <c r="BP159" s="73" t="s">
        <v>382</v>
      </c>
      <c r="BQ159" s="78" t="str">
        <f t="shared" si="21"/>
        <v>CIE SST CUL</v>
      </c>
      <c r="BR159" s="78" t="str">
        <f t="shared" si="14"/>
        <v>CIE CUL</v>
      </c>
      <c r="BS159" s="78" t="str">
        <f t="shared" si="16"/>
        <v>CUL</v>
      </c>
      <c r="BT159" s="78" t="str">
        <f>VLOOKUP(A159,[2]Hoja1!$A$2:$B$123,2,FALSE)</f>
        <v>BIL</v>
      </c>
      <c r="BU159" s="71">
        <v>17</v>
      </c>
      <c r="BV159" s="71" t="s">
        <v>534</v>
      </c>
      <c r="BW159" s="81">
        <f>VLOOKUP(A159,[2]PE04!$A$7:$A$328,1,FALSE)</f>
        <v>3185930</v>
      </c>
      <c r="BX159" s="81" t="str">
        <f>IFERROR(VLOOKUP( 5,[2]PE04!A84:G411,8,FALSE), "No encontrado")</f>
        <v>No encontrado</v>
      </c>
    </row>
    <row r="160" spans="1:76" ht="13.5" customHeight="1" x14ac:dyDescent="0.25">
      <c r="A160" s="70">
        <v>3185931</v>
      </c>
      <c r="B160" s="71" t="s">
        <v>245</v>
      </c>
      <c r="C160" s="71">
        <v>60</v>
      </c>
      <c r="D160" s="72" t="s">
        <v>101</v>
      </c>
      <c r="E160" s="73" t="s">
        <v>88</v>
      </c>
      <c r="F160" s="74">
        <f t="shared" si="17"/>
        <v>46386</v>
      </c>
      <c r="G160" s="73" t="s">
        <v>120</v>
      </c>
      <c r="H160" s="73"/>
      <c r="K160" s="71" t="s">
        <v>383</v>
      </c>
      <c r="M160" s="70" t="s">
        <v>381</v>
      </c>
      <c r="O160" s="71" t="s">
        <v>300</v>
      </c>
      <c r="P160" s="72" t="s">
        <v>381</v>
      </c>
      <c r="Q160" s="71" t="s">
        <v>297</v>
      </c>
      <c r="U160" s="75"/>
      <c r="W160" s="75"/>
      <c r="Y160" s="75"/>
      <c r="AC160" s="75"/>
      <c r="AG160" s="71" t="s">
        <v>208</v>
      </c>
      <c r="AH160" s="76" t="s">
        <v>278</v>
      </c>
      <c r="AK160" s="71" t="s">
        <v>254</v>
      </c>
      <c r="AL160" s="75" t="s">
        <v>255</v>
      </c>
      <c r="AM160" s="71"/>
      <c r="AN160" s="71"/>
      <c r="AO160" s="71" t="s">
        <v>196</v>
      </c>
      <c r="AP160" s="71" t="s">
        <v>244</v>
      </c>
      <c r="AQ160" s="71"/>
      <c r="AS160" s="71" t="s">
        <v>198</v>
      </c>
      <c r="AT160" s="75" t="s">
        <v>199</v>
      </c>
      <c r="AV160" s="75" t="s">
        <v>218</v>
      </c>
      <c r="AW160" s="75" t="s">
        <v>200</v>
      </c>
      <c r="AX160" s="75" t="str">
        <f t="shared" si="22"/>
        <v>WILDER JULIAN ARIAS HERNANDEZ</v>
      </c>
      <c r="BA160" s="75" t="s">
        <v>204</v>
      </c>
      <c r="BB160" s="75" t="str">
        <f t="shared" si="23"/>
        <v>IVAN DARIO RODRIGUEZ BUSTAMANTE</v>
      </c>
      <c r="BE160" s="75" t="s">
        <v>209</v>
      </c>
      <c r="BF160" s="75" t="s">
        <v>228</v>
      </c>
      <c r="BI160" s="75" t="s">
        <v>206</v>
      </c>
      <c r="BJ160" s="75" t="s">
        <v>207</v>
      </c>
      <c r="BL160" s="75" t="s">
        <v>242</v>
      </c>
      <c r="BM160" s="75" t="s">
        <v>243</v>
      </c>
      <c r="BP160" s="73" t="s">
        <v>382</v>
      </c>
      <c r="BQ160" s="78" t="str">
        <f t="shared" si="21"/>
        <v>CIE SST CUL</v>
      </c>
      <c r="BR160" s="78" t="str">
        <f t="shared" si="14"/>
        <v>CIE CUL</v>
      </c>
      <c r="BS160" s="78" t="str">
        <f t="shared" si="16"/>
        <v>CUL</v>
      </c>
      <c r="BT160" s="78" t="str">
        <f>VLOOKUP(A160,[2]Hoja1!$A$2:$B$123,2,FALSE)</f>
        <v>BIL</v>
      </c>
      <c r="BU160" s="71">
        <v>31</v>
      </c>
      <c r="BV160" s="71" t="s">
        <v>534</v>
      </c>
      <c r="BW160" s="81">
        <f>VLOOKUP(A160,[2]PE04!$A$7:$A$328,1,FALSE)</f>
        <v>3185931</v>
      </c>
      <c r="BX160" s="81" t="str">
        <f>IFERROR(VLOOKUP( 5,[2]PE04!A85:G412,8,FALSE), "No encontrado")</f>
        <v>No encontrado</v>
      </c>
    </row>
    <row r="161" spans="1:76" ht="13.5" customHeight="1" x14ac:dyDescent="0.25">
      <c r="A161" s="70">
        <v>3185932</v>
      </c>
      <c r="B161" s="71" t="s">
        <v>245</v>
      </c>
      <c r="C161" s="71">
        <v>60</v>
      </c>
      <c r="D161" s="72" t="s">
        <v>101</v>
      </c>
      <c r="E161" s="73" t="s">
        <v>88</v>
      </c>
      <c r="F161" s="74">
        <f t="shared" si="17"/>
        <v>46386</v>
      </c>
      <c r="G161" s="73" t="s">
        <v>120</v>
      </c>
      <c r="H161" s="73"/>
      <c r="K161" s="71" t="s">
        <v>383</v>
      </c>
      <c r="M161" s="70" t="s">
        <v>384</v>
      </c>
      <c r="O161" s="71" t="s">
        <v>300</v>
      </c>
      <c r="P161" s="72" t="s">
        <v>314</v>
      </c>
      <c r="Q161" s="71" t="s">
        <v>297</v>
      </c>
      <c r="U161" s="75"/>
      <c r="W161" s="75"/>
      <c r="Y161" s="75"/>
      <c r="AC161" s="75"/>
      <c r="AG161" s="71" t="s">
        <v>208</v>
      </c>
      <c r="AH161" s="76" t="s">
        <v>278</v>
      </c>
      <c r="AK161" s="71" t="s">
        <v>254</v>
      </c>
      <c r="AL161" s="75" t="s">
        <v>255</v>
      </c>
      <c r="AM161" s="71"/>
      <c r="AN161" s="71"/>
      <c r="AO161" s="71" t="s">
        <v>196</v>
      </c>
      <c r="AP161" s="71" t="s">
        <v>244</v>
      </c>
      <c r="AQ161" s="71"/>
      <c r="AS161" s="71" t="s">
        <v>198</v>
      </c>
      <c r="AT161" s="75" t="s">
        <v>299</v>
      </c>
      <c r="AV161" s="75" t="s">
        <v>218</v>
      </c>
      <c r="AW161" s="75" t="s">
        <v>200</v>
      </c>
      <c r="AX161" s="75" t="str">
        <f t="shared" si="22"/>
        <v>WILDER JULIAN ARIAS HERNANDEZ</v>
      </c>
      <c r="BA161" s="75" t="s">
        <v>204</v>
      </c>
      <c r="BB161" s="75" t="str">
        <f t="shared" si="23"/>
        <v>NELSON ALFREDO VARGAS MORA</v>
      </c>
      <c r="BI161" s="75" t="s">
        <v>209</v>
      </c>
      <c r="BJ161" s="75" t="s">
        <v>554</v>
      </c>
      <c r="BL161" s="75" t="s">
        <v>206</v>
      </c>
      <c r="BM161" s="75" t="s">
        <v>555</v>
      </c>
      <c r="BP161" s="73" t="s">
        <v>382</v>
      </c>
      <c r="BQ161" s="78" t="str">
        <f t="shared" si="21"/>
        <v>CIE SST EMP CUL</v>
      </c>
      <c r="BR161" s="78" t="str">
        <f t="shared" si="14"/>
        <v>CIE SST CUL</v>
      </c>
      <c r="BS161" s="78" t="str">
        <f t="shared" si="16"/>
        <v>CIE CUL</v>
      </c>
      <c r="BT161" s="78" t="str">
        <f>VLOOKUP(A161,[2]Hoja1!$A$2:$B$123,2,FALSE)</f>
        <v>BIL</v>
      </c>
      <c r="BU161" s="71">
        <v>23</v>
      </c>
      <c r="BV161" s="71" t="s">
        <v>534</v>
      </c>
      <c r="BW161" s="81">
        <f>VLOOKUP(A161,[2]PE04!$A$7:$A$328,1,FALSE)</f>
        <v>3185932</v>
      </c>
      <c r="BX161" s="81" t="str">
        <f>IFERROR(VLOOKUP( 5,[2]PE04!A86:G413,8,FALSE), "No encontrado")</f>
        <v>No encontrado</v>
      </c>
    </row>
    <row r="162" spans="1:76" ht="13.5" customHeight="1" x14ac:dyDescent="0.25">
      <c r="A162" s="70">
        <v>3185933</v>
      </c>
      <c r="B162" s="71" t="s">
        <v>245</v>
      </c>
      <c r="C162" s="71">
        <v>53</v>
      </c>
      <c r="D162" s="72" t="s">
        <v>101</v>
      </c>
      <c r="E162" s="73" t="s">
        <v>88</v>
      </c>
      <c r="F162" s="74">
        <f t="shared" si="17"/>
        <v>46386</v>
      </c>
      <c r="G162" s="73" t="s">
        <v>120</v>
      </c>
      <c r="H162" s="73"/>
      <c r="K162" s="71" t="s">
        <v>346</v>
      </c>
      <c r="M162" s="70" t="s">
        <v>384</v>
      </c>
      <c r="O162" s="71" t="s">
        <v>300</v>
      </c>
      <c r="P162" s="72" t="s">
        <v>314</v>
      </c>
      <c r="Q162" s="71" t="s">
        <v>297</v>
      </c>
      <c r="U162" s="75"/>
      <c r="W162" s="75"/>
      <c r="Y162" s="75"/>
      <c r="AC162" s="75"/>
      <c r="AG162" s="71" t="s">
        <v>208</v>
      </c>
      <c r="AH162" s="76" t="s">
        <v>239</v>
      </c>
      <c r="AK162" s="71" t="s">
        <v>254</v>
      </c>
      <c r="AL162" s="75" t="s">
        <v>255</v>
      </c>
      <c r="AM162" s="71"/>
      <c r="AN162" s="71"/>
      <c r="AO162" s="71" t="s">
        <v>196</v>
      </c>
      <c r="AP162" s="71" t="s">
        <v>267</v>
      </c>
      <c r="AQ162" s="71"/>
      <c r="AS162" s="71" t="s">
        <v>198</v>
      </c>
      <c r="AT162" s="75" t="s">
        <v>253</v>
      </c>
      <c r="AV162" s="75" t="s">
        <v>218</v>
      </c>
      <c r="AW162" s="75" t="s">
        <v>200</v>
      </c>
      <c r="AX162" s="75" t="str">
        <f t="shared" si="22"/>
        <v>ELKIN DURAN MANCIPE</v>
      </c>
      <c r="BA162" s="75" t="s">
        <v>204</v>
      </c>
      <c r="BB162" s="75" t="str">
        <f t="shared" si="23"/>
        <v>IVAN DARIO RODRIGUEZ BUSTAMANTE</v>
      </c>
      <c r="BE162" s="75" t="s">
        <v>209</v>
      </c>
      <c r="BF162" s="75" t="s">
        <v>228</v>
      </c>
      <c r="BI162" s="75" t="s">
        <v>206</v>
      </c>
      <c r="BJ162" s="75" t="s">
        <v>555</v>
      </c>
      <c r="BL162" s="75" t="s">
        <v>242</v>
      </c>
      <c r="BM162" s="75" t="s">
        <v>243</v>
      </c>
      <c r="BP162" s="73" t="s">
        <v>382</v>
      </c>
      <c r="BQ162" s="78" t="str">
        <f t="shared" si="21"/>
        <v>CIE SST CUL</v>
      </c>
      <c r="BR162" s="78" t="str">
        <f t="shared" si="14"/>
        <v>CIE CUL</v>
      </c>
      <c r="BS162" s="78" t="str">
        <f t="shared" si="16"/>
        <v>CUL</v>
      </c>
      <c r="BT162" s="78" t="str">
        <f>VLOOKUP(A162,[2]Hoja1!$A$2:$B$123,2,FALSE)</f>
        <v>BIL</v>
      </c>
      <c r="BU162" s="71">
        <v>17</v>
      </c>
      <c r="BV162" s="71" t="s">
        <v>534</v>
      </c>
      <c r="BW162" s="81">
        <f>VLOOKUP(A162,[2]PE04!$A$7:$A$328,1,FALSE)</f>
        <v>3185933</v>
      </c>
      <c r="BX162" s="81" t="str">
        <f>IFERROR(VLOOKUP( 5,[2]PE04!A87:G414,8,FALSE), "No encontrado")</f>
        <v>No encontrado</v>
      </c>
    </row>
    <row r="163" spans="1:76" ht="13.5" customHeight="1" x14ac:dyDescent="0.25">
      <c r="A163" s="70">
        <v>3185934</v>
      </c>
      <c r="B163" s="71" t="s">
        <v>245</v>
      </c>
      <c r="C163" s="71">
        <v>47</v>
      </c>
      <c r="D163" s="72" t="s">
        <v>101</v>
      </c>
      <c r="E163" s="73" t="s">
        <v>88</v>
      </c>
      <c r="F163" s="74">
        <f t="shared" si="17"/>
        <v>46386</v>
      </c>
      <c r="G163" s="73" t="s">
        <v>120</v>
      </c>
      <c r="H163" s="73"/>
      <c r="K163" s="71" t="s">
        <v>346</v>
      </c>
      <c r="M163" s="70" t="s">
        <v>384</v>
      </c>
      <c r="O163" s="71" t="s">
        <v>300</v>
      </c>
      <c r="P163" s="72" t="s">
        <v>314</v>
      </c>
      <c r="Q163" s="71" t="s">
        <v>297</v>
      </c>
      <c r="U163" s="75"/>
      <c r="W163" s="75"/>
      <c r="Y163" s="75"/>
      <c r="AC163" s="75"/>
      <c r="AG163" s="71" t="s">
        <v>208</v>
      </c>
      <c r="AH163" s="76" t="s">
        <v>278</v>
      </c>
      <c r="AK163" s="71" t="s">
        <v>254</v>
      </c>
      <c r="AL163" s="75" t="s">
        <v>255</v>
      </c>
      <c r="AM163" s="71"/>
      <c r="AN163" s="71"/>
      <c r="AO163" s="71" t="s">
        <v>196</v>
      </c>
      <c r="AP163" s="71" t="s">
        <v>267</v>
      </c>
      <c r="AQ163" s="71"/>
      <c r="AS163" s="71" t="s">
        <v>198</v>
      </c>
      <c r="AT163" s="75" t="s">
        <v>225</v>
      </c>
      <c r="AV163" s="75" t="s">
        <v>218</v>
      </c>
      <c r="AW163" s="75" t="s">
        <v>200</v>
      </c>
      <c r="AX163" s="75" t="str">
        <f t="shared" si="22"/>
        <v>WILDER JULIAN ARIAS HERNANDEZ</v>
      </c>
      <c r="BA163" s="75" t="s">
        <v>204</v>
      </c>
      <c r="BB163" s="75" t="str">
        <f t="shared" si="23"/>
        <v>OLGA STELLA PARDO SARAY</v>
      </c>
      <c r="BE163" s="75" t="s">
        <v>209</v>
      </c>
      <c r="BF163" s="75" t="s">
        <v>228</v>
      </c>
      <c r="BI163" s="75" t="s">
        <v>206</v>
      </c>
      <c r="BJ163" s="75" t="s">
        <v>555</v>
      </c>
      <c r="BL163" s="75" t="s">
        <v>242</v>
      </c>
      <c r="BM163" s="75" t="s">
        <v>243</v>
      </c>
      <c r="BP163" s="73" t="s">
        <v>382</v>
      </c>
      <c r="BQ163" s="78" t="str">
        <f t="shared" si="21"/>
        <v>CIE SST CUL</v>
      </c>
      <c r="BR163" s="78" t="str">
        <f t="shared" si="14"/>
        <v>CIE CUL</v>
      </c>
      <c r="BS163" s="78" t="str">
        <f t="shared" si="16"/>
        <v>CUL</v>
      </c>
      <c r="BT163" s="78" t="str">
        <f>VLOOKUP(A163,[2]Hoja1!$A$2:$B$123,2,FALSE)</f>
        <v>BIL</v>
      </c>
      <c r="BU163" s="71">
        <v>16</v>
      </c>
      <c r="BV163" s="71" t="s">
        <v>534</v>
      </c>
      <c r="BW163" s="81">
        <f>VLOOKUP(A163,[2]PE04!$A$7:$A$328,1,FALSE)</f>
        <v>3185934</v>
      </c>
      <c r="BX163" s="81" t="str">
        <f>IFERROR(VLOOKUP( 5,[2]PE04!A88:G415,8,FALSE), "No encontrado")</f>
        <v>No encontrado</v>
      </c>
    </row>
    <row r="164" spans="1:76" ht="13.5" customHeight="1" x14ac:dyDescent="0.25">
      <c r="A164" s="70">
        <v>3185935</v>
      </c>
      <c r="B164" s="71" t="s">
        <v>245</v>
      </c>
      <c r="C164" s="71">
        <v>52</v>
      </c>
      <c r="D164" s="72" t="s">
        <v>101</v>
      </c>
      <c r="E164" s="73" t="s">
        <v>88</v>
      </c>
      <c r="F164" s="74">
        <f t="shared" si="17"/>
        <v>46386</v>
      </c>
      <c r="G164" s="73" t="s">
        <v>120</v>
      </c>
      <c r="H164" s="73"/>
      <c r="K164" s="71" t="s">
        <v>346</v>
      </c>
      <c r="M164" s="70" t="s">
        <v>384</v>
      </c>
      <c r="O164" s="71" t="s">
        <v>300</v>
      </c>
      <c r="P164" s="72" t="s">
        <v>314</v>
      </c>
      <c r="Q164" s="71" t="s">
        <v>297</v>
      </c>
      <c r="U164" s="75"/>
      <c r="W164" s="75"/>
      <c r="Y164" s="75"/>
      <c r="AC164" s="75"/>
      <c r="AG164" s="71" t="s">
        <v>208</v>
      </c>
      <c r="AH164" s="76" t="s">
        <v>235</v>
      </c>
      <c r="AK164" s="71" t="s">
        <v>254</v>
      </c>
      <c r="AL164" s="75" t="s">
        <v>255</v>
      </c>
      <c r="AM164" s="71"/>
      <c r="AN164" s="71"/>
      <c r="AO164" s="71" t="s">
        <v>196</v>
      </c>
      <c r="AP164" s="71" t="s">
        <v>219</v>
      </c>
      <c r="AQ164" s="71"/>
      <c r="AS164" s="71" t="s">
        <v>198</v>
      </c>
      <c r="AT164" s="75" t="s">
        <v>253</v>
      </c>
      <c r="AV164" s="75" t="s">
        <v>218</v>
      </c>
      <c r="AW164" s="75" t="s">
        <v>200</v>
      </c>
      <c r="AX164" s="75" t="str">
        <f t="shared" si="22"/>
        <v>JULIANA HERNANDEZ BARRERA</v>
      </c>
      <c r="BA164" s="75" t="s">
        <v>204</v>
      </c>
      <c r="BB164" s="75" t="str">
        <f t="shared" si="23"/>
        <v>OLGA STELLA PARDO SARAY</v>
      </c>
      <c r="BI164" s="75" t="s">
        <v>209</v>
      </c>
      <c r="BJ164" s="75" t="s">
        <v>228</v>
      </c>
      <c r="BL164" s="75" t="s">
        <v>206</v>
      </c>
      <c r="BM164" s="75" t="s">
        <v>555</v>
      </c>
      <c r="BP164" s="73" t="s">
        <v>382</v>
      </c>
      <c r="BQ164" s="78" t="str">
        <f t="shared" si="21"/>
        <v>CIE SST EMP CUL</v>
      </c>
      <c r="BR164" s="78" t="str">
        <f t="shared" si="14"/>
        <v>CIE SST CUL</v>
      </c>
      <c r="BS164" s="78" t="str">
        <f t="shared" si="16"/>
        <v>CIE CUL</v>
      </c>
      <c r="BT164" s="78" t="str">
        <f>VLOOKUP(A164,[2]Hoja1!$A$2:$B$123,2,FALSE)</f>
        <v>BIL</v>
      </c>
      <c r="BU164" s="71">
        <v>18</v>
      </c>
      <c r="BV164" s="71" t="s">
        <v>534</v>
      </c>
      <c r="BW164" s="81">
        <f>VLOOKUP(A164,[2]PE04!$A$7:$A$328,1,FALSE)</f>
        <v>3185935</v>
      </c>
      <c r="BX164" s="81" t="str">
        <f>IFERROR(VLOOKUP( 5,[2]PE04!A89:G416,8,FALSE), "No encontrado")</f>
        <v>No encontrado</v>
      </c>
    </row>
    <row r="165" spans="1:76" ht="13.5" customHeight="1" x14ac:dyDescent="0.25">
      <c r="A165" s="70">
        <v>3186008</v>
      </c>
      <c r="B165" s="71" t="s">
        <v>245</v>
      </c>
      <c r="C165" s="71">
        <v>60</v>
      </c>
      <c r="D165" s="72" t="s">
        <v>99</v>
      </c>
      <c r="E165" s="73" t="s">
        <v>88</v>
      </c>
      <c r="F165" s="74">
        <f t="shared" si="17"/>
        <v>46386</v>
      </c>
      <c r="G165" s="73" t="s">
        <v>120</v>
      </c>
      <c r="H165" s="73"/>
      <c r="K165" s="71" t="s">
        <v>385</v>
      </c>
      <c r="M165" s="70" t="s">
        <v>380</v>
      </c>
      <c r="O165" s="71" t="s">
        <v>300</v>
      </c>
      <c r="P165" s="72" t="s">
        <v>380</v>
      </c>
      <c r="Q165" s="71" t="s">
        <v>263</v>
      </c>
      <c r="U165" s="75"/>
      <c r="W165" s="75"/>
      <c r="Y165" s="75"/>
      <c r="AC165" s="75"/>
      <c r="AG165" s="71" t="s">
        <v>198</v>
      </c>
      <c r="AH165" s="76" t="s">
        <v>253</v>
      </c>
      <c r="AK165" s="71" t="s">
        <v>209</v>
      </c>
      <c r="AL165" s="75" t="s">
        <v>236</v>
      </c>
      <c r="AM165" s="71"/>
      <c r="AN165" s="71"/>
      <c r="AO165" s="71" t="s">
        <v>200</v>
      </c>
      <c r="AP165" s="71" t="s">
        <v>201</v>
      </c>
      <c r="AQ165" s="71"/>
      <c r="AS165" s="71" t="s">
        <v>196</v>
      </c>
      <c r="AT165" s="75" t="s">
        <v>244</v>
      </c>
      <c r="AV165" s="75" t="s">
        <v>218</v>
      </c>
      <c r="AW165" s="75" t="s">
        <v>206</v>
      </c>
      <c r="AX165" s="75" t="str">
        <f t="shared" si="22"/>
        <v>MARINELLA DIAZ ACOSTA</v>
      </c>
      <c r="BA165" s="75" t="s">
        <v>208</v>
      </c>
      <c r="BB165" s="75" t="str">
        <f t="shared" si="23"/>
        <v>LAURA STHEPHANIA SANCHEZ PABON</v>
      </c>
      <c r="BE165" s="75" t="s">
        <v>204</v>
      </c>
      <c r="BF165" s="75" t="s">
        <v>221</v>
      </c>
      <c r="BI165" s="75" t="s">
        <v>194</v>
      </c>
      <c r="BJ165" s="75" t="s">
        <v>545</v>
      </c>
      <c r="BL165" s="75" t="s">
        <v>254</v>
      </c>
      <c r="BP165" s="73" t="s">
        <v>382</v>
      </c>
      <c r="BQ165" s="78" t="str">
        <f t="shared" si="21"/>
        <v>INV FIS CUL</v>
      </c>
      <c r="BR165" s="78" t="str">
        <f t="shared" si="14"/>
        <v>INV CUL</v>
      </c>
      <c r="BS165" s="78" t="str">
        <f t="shared" si="16"/>
        <v>CUL</v>
      </c>
      <c r="BT165" s="78" t="str">
        <f>VLOOKUP(A165,[2]Hoja1!$A$2:$B$123,2,FALSE)</f>
        <v>BIL</v>
      </c>
      <c r="BU165" s="71">
        <v>33</v>
      </c>
      <c r="BV165" s="71" t="s">
        <v>534</v>
      </c>
      <c r="BW165" s="81">
        <f>VLOOKUP(A165,[2]PE04!$A$7:$A$328,1,FALSE)</f>
        <v>3186008</v>
      </c>
      <c r="BX165" s="81" t="str">
        <f>IFERROR(VLOOKUP( 5,[2]PE04!A90:G417,8,FALSE), "No encontrado")</f>
        <v>No encontrado</v>
      </c>
    </row>
    <row r="166" spans="1:76" ht="13.5" customHeight="1" x14ac:dyDescent="0.25">
      <c r="A166" s="70">
        <v>3186630</v>
      </c>
      <c r="B166" s="71" t="s">
        <v>245</v>
      </c>
      <c r="C166" s="71">
        <v>59</v>
      </c>
      <c r="D166" s="72" t="s">
        <v>271</v>
      </c>
      <c r="E166" s="73" t="s">
        <v>88</v>
      </c>
      <c r="F166" s="74">
        <f t="shared" si="17"/>
        <v>46386</v>
      </c>
      <c r="G166" s="73" t="s">
        <v>120</v>
      </c>
      <c r="H166" s="73"/>
      <c r="K166" s="71" t="s">
        <v>386</v>
      </c>
      <c r="M166" s="70" t="s">
        <v>324</v>
      </c>
      <c r="N166" s="71" t="s">
        <v>237</v>
      </c>
      <c r="O166" s="71" t="s">
        <v>238</v>
      </c>
      <c r="P166" s="72" t="s">
        <v>566</v>
      </c>
      <c r="Q166" s="71" t="s">
        <v>274</v>
      </c>
      <c r="U166" s="75"/>
      <c r="W166" s="75"/>
      <c r="Y166" s="75"/>
      <c r="AC166" s="75"/>
      <c r="AG166" s="71" t="s">
        <v>200</v>
      </c>
      <c r="AH166" s="76" t="s">
        <v>214</v>
      </c>
      <c r="AK166" s="71" t="s">
        <v>198</v>
      </c>
      <c r="AL166" s="75" t="s">
        <v>253</v>
      </c>
      <c r="AM166" s="71"/>
      <c r="AN166" s="71"/>
      <c r="AO166" s="71" t="s">
        <v>196</v>
      </c>
      <c r="AP166" s="71" t="s">
        <v>219</v>
      </c>
      <c r="AQ166" s="71"/>
      <c r="AS166" s="71" t="s">
        <v>209</v>
      </c>
      <c r="AT166" s="75" t="s">
        <v>236</v>
      </c>
      <c r="AV166" s="75" t="s">
        <v>218</v>
      </c>
      <c r="AW166" s="75" t="s">
        <v>204</v>
      </c>
      <c r="AX166" s="75" t="str">
        <f t="shared" si="22"/>
        <v>IVAN DARIO RODRIGUEZ BUSTAMANTE</v>
      </c>
      <c r="BE166" s="75" t="s">
        <v>208</v>
      </c>
      <c r="BF166" s="75" t="s">
        <v>278</v>
      </c>
      <c r="BI166" s="75" t="s">
        <v>194</v>
      </c>
      <c r="BJ166" s="75" t="s">
        <v>545</v>
      </c>
      <c r="BL166" s="75" t="s">
        <v>206</v>
      </c>
      <c r="BM166" s="75" t="s">
        <v>555</v>
      </c>
      <c r="BP166" s="73" t="s">
        <v>382</v>
      </c>
      <c r="BQ166" s="78" t="str">
        <f t="shared" si="21"/>
        <v>INV FIS SST CUL</v>
      </c>
      <c r="BR166" s="78" t="str">
        <f t="shared" si="14"/>
        <v>INV SST CUL</v>
      </c>
      <c r="BS166" s="78" t="str">
        <f t="shared" si="16"/>
        <v>INV CUL</v>
      </c>
      <c r="BT166" s="78" t="str">
        <f>VLOOKUP(A166,[2]Hoja1!$A$2:$B$123,2,FALSE)</f>
        <v>BIL</v>
      </c>
      <c r="BU166" s="71">
        <v>50</v>
      </c>
      <c r="BV166" s="71" t="s">
        <v>535</v>
      </c>
      <c r="BW166" s="81">
        <f>VLOOKUP(A166,[2]PE04!$A$7:$A$328,1,FALSE)</f>
        <v>3186630</v>
      </c>
      <c r="BX166" s="81" t="str">
        <f>IFERROR(VLOOKUP( 5,[2]PE04!A91:G418,8,FALSE), "No encontrado")</f>
        <v>No encontrado</v>
      </c>
    </row>
    <row r="167" spans="1:76" ht="13.5" customHeight="1" x14ac:dyDescent="0.25">
      <c r="A167" s="70">
        <v>3186631</v>
      </c>
      <c r="B167" s="71" t="s">
        <v>245</v>
      </c>
      <c r="C167" s="71">
        <v>62</v>
      </c>
      <c r="D167" s="72" t="s">
        <v>271</v>
      </c>
      <c r="E167" s="73" t="s">
        <v>88</v>
      </c>
      <c r="F167" s="74">
        <f t="shared" si="17"/>
        <v>46386</v>
      </c>
      <c r="G167" s="73" t="s">
        <v>120</v>
      </c>
      <c r="H167" s="73"/>
      <c r="K167" s="71" t="s">
        <v>324</v>
      </c>
      <c r="M167" s="70" t="s">
        <v>324</v>
      </c>
      <c r="O167" s="71" t="s">
        <v>231</v>
      </c>
      <c r="P167" s="72" t="s">
        <v>566</v>
      </c>
      <c r="Q167" s="71" t="s">
        <v>274</v>
      </c>
      <c r="U167" s="75"/>
      <c r="W167" s="75"/>
      <c r="Y167" s="75"/>
      <c r="AC167" s="75"/>
      <c r="AG167" s="71" t="s">
        <v>200</v>
      </c>
      <c r="AH167" s="76" t="s">
        <v>214</v>
      </c>
      <c r="AK167" s="71" t="s">
        <v>198</v>
      </c>
      <c r="AL167" s="75" t="s">
        <v>199</v>
      </c>
      <c r="AM167" s="71"/>
      <c r="AN167" s="71"/>
      <c r="AO167" s="71" t="s">
        <v>196</v>
      </c>
      <c r="AP167" s="71" t="s">
        <v>219</v>
      </c>
      <c r="AQ167" s="71"/>
      <c r="AS167" s="71" t="s">
        <v>209</v>
      </c>
      <c r="AT167" s="75" t="s">
        <v>236</v>
      </c>
      <c r="AV167" s="75" t="s">
        <v>218</v>
      </c>
      <c r="AW167" s="75" t="s">
        <v>204</v>
      </c>
      <c r="AX167" s="75" t="str">
        <f t="shared" si="22"/>
        <v>OLGA STELLA PARDO SARAY</v>
      </c>
      <c r="BE167" s="75" t="s">
        <v>208</v>
      </c>
      <c r="BF167" s="75" t="s">
        <v>278</v>
      </c>
      <c r="BI167" s="75" t="s">
        <v>254</v>
      </c>
      <c r="BJ167" s="75" t="s">
        <v>255</v>
      </c>
      <c r="BL167" s="75" t="s">
        <v>206</v>
      </c>
      <c r="BM167" s="75" t="s">
        <v>227</v>
      </c>
      <c r="BP167" s="73" t="s">
        <v>382</v>
      </c>
      <c r="BQ167" s="78" t="str">
        <f t="shared" si="21"/>
        <v>INV FIS SST CUL</v>
      </c>
      <c r="BR167" s="78" t="str">
        <f t="shared" ref="BR167:BR230" si="24">TRIM(SUBSTITUTE(SUBSTITUTE(SUBSTITUTE(SUBSTITUTE(SUBSTITUTE(SUBSTITUTE(SUBSTITUTE(SUBSTITUTE(SUBSTITUTE(SUBSTITUTE(SUBSTITUTE(SUBSTITUTE(SUBSTITUTE(SUBSTITUTE(SUBSTITUTE(SUBSTITUTE(SUBSTITUTE(Q167, Y167, ""), AA167, ""), AC167, ""), AE167, ""), AG167, ""), AK167, ""), AO167, ""), AQ167, ""), AS167, ""), AU167, ""), AW167, ""), AY167, ""), BA167, ""), BC167, ""), BE167, ""), BG167, ""),BI167, ""))</f>
        <v>FIS SST CUL</v>
      </c>
      <c r="BS167" s="78" t="str">
        <f t="shared" si="16"/>
        <v>FIS CUL</v>
      </c>
      <c r="BT167" s="78" t="str">
        <f>VLOOKUP(A167,[2]Hoja1!$A$2:$B$123,2,FALSE)</f>
        <v>BIL</v>
      </c>
      <c r="BU167" s="71">
        <v>54</v>
      </c>
      <c r="BV167" s="71" t="s">
        <v>534</v>
      </c>
      <c r="BW167" s="81">
        <f>VLOOKUP(A167,[2]PE04!$A$7:$A$328,1,FALSE)</f>
        <v>3186631</v>
      </c>
      <c r="BX167" s="81" t="str">
        <f>IFERROR(VLOOKUP( 5,[2]PE04!A92:G419,8,FALSE), "No encontrado")</f>
        <v>No encontrado</v>
      </c>
    </row>
    <row r="168" spans="1:76" ht="13.5" customHeight="1" x14ac:dyDescent="0.25">
      <c r="A168" s="70">
        <v>3235889</v>
      </c>
      <c r="B168" s="71" t="s">
        <v>245</v>
      </c>
      <c r="C168" s="71">
        <v>57</v>
      </c>
      <c r="D168" s="72" t="s">
        <v>271</v>
      </c>
      <c r="E168" s="73" t="s">
        <v>102</v>
      </c>
      <c r="F168" s="74">
        <f t="shared" si="17"/>
        <v>46448</v>
      </c>
      <c r="G168" s="73" t="s">
        <v>121</v>
      </c>
      <c r="H168" s="73"/>
      <c r="K168" s="71" t="s">
        <v>387</v>
      </c>
      <c r="M168" s="70" t="s">
        <v>387</v>
      </c>
      <c r="O168" s="71" t="s">
        <v>192</v>
      </c>
      <c r="P168" s="72" t="s">
        <v>387</v>
      </c>
      <c r="Q168" s="71" t="s">
        <v>274</v>
      </c>
      <c r="U168" s="75"/>
      <c r="W168" s="75"/>
      <c r="Y168" s="75"/>
      <c r="AC168" s="75"/>
      <c r="AH168" s="76"/>
      <c r="AK168" s="71"/>
      <c r="AM168" s="71"/>
      <c r="AN168" s="71"/>
      <c r="AO168" s="71" t="s">
        <v>198</v>
      </c>
      <c r="AP168" s="71" t="s">
        <v>299</v>
      </c>
      <c r="AQ168" s="71"/>
      <c r="AS168" s="71" t="s">
        <v>200</v>
      </c>
      <c r="AT168" s="75" t="s">
        <v>214</v>
      </c>
      <c r="AV168" s="75" t="s">
        <v>218</v>
      </c>
      <c r="AW168" s="75" t="s">
        <v>204</v>
      </c>
      <c r="AX168" s="75" t="str">
        <f t="shared" si="22"/>
        <v>NELSON ALFREDO VARGAS MORA</v>
      </c>
      <c r="BA168" s="75" t="s">
        <v>202</v>
      </c>
      <c r="BB168" s="75" t="str">
        <f t="shared" ref="BB168:BB182" si="25">VLOOKUP(A168,_p8_2025,2,FALSE)</f>
        <v>CHRISTIAN CAMILO RODRIGUEZ SALAS</v>
      </c>
      <c r="BE168" s="75" t="s">
        <v>208</v>
      </c>
      <c r="BF168" s="75" t="s">
        <v>278</v>
      </c>
      <c r="BI168" s="75" t="s">
        <v>196</v>
      </c>
      <c r="BJ168" s="75" t="s">
        <v>539</v>
      </c>
      <c r="BL168" s="75" t="s">
        <v>209</v>
      </c>
      <c r="BM168" s="75" t="s">
        <v>228</v>
      </c>
      <c r="BP168" s="73" t="s">
        <v>382</v>
      </c>
      <c r="BQ168" s="78" t="str">
        <f t="shared" si="21"/>
        <v>COM INV FIS EMP SST</v>
      </c>
      <c r="BR168" s="78" t="str">
        <f t="shared" si="24"/>
        <v>INV FIS EMP SST</v>
      </c>
      <c r="BS168" s="78" t="str">
        <f t="shared" si="16"/>
        <v>INV FIS SST</v>
      </c>
      <c r="BT168" s="78" t="str">
        <f>VLOOKUP(A168,[2]Hoja1!$A$2:$B$123,2,FALSE)</f>
        <v>BIL</v>
      </c>
      <c r="BU168" s="71">
        <v>59</v>
      </c>
      <c r="BV168" s="71" t="s">
        <v>537</v>
      </c>
      <c r="BW168" s="81">
        <f>VLOOKUP(A168,[2]PE04!$A$7:$A$328,1,FALSE)</f>
        <v>3235889</v>
      </c>
      <c r="BX168" s="81" t="str">
        <f>IFERROR(VLOOKUP( 5,[2]PE04!A93:G420,8,FALSE), "No encontrado")</f>
        <v>No encontrado</v>
      </c>
    </row>
    <row r="169" spans="1:76" ht="13.5" customHeight="1" x14ac:dyDescent="0.25">
      <c r="A169" s="70">
        <v>3235890</v>
      </c>
      <c r="B169" s="71" t="s">
        <v>245</v>
      </c>
      <c r="C169" s="71">
        <v>59</v>
      </c>
      <c r="D169" s="72" t="s">
        <v>271</v>
      </c>
      <c r="E169" s="73" t="s">
        <v>102</v>
      </c>
      <c r="F169" s="74">
        <f t="shared" si="17"/>
        <v>46448</v>
      </c>
      <c r="G169" s="73" t="s">
        <v>121</v>
      </c>
      <c r="H169" s="73"/>
      <c r="K169" s="71" t="s">
        <v>387</v>
      </c>
      <c r="M169" s="70" t="s">
        <v>387</v>
      </c>
      <c r="O169" s="71" t="s">
        <v>192</v>
      </c>
      <c r="P169" s="72" t="s">
        <v>387</v>
      </c>
      <c r="Q169" s="71" t="s">
        <v>274</v>
      </c>
      <c r="U169" s="75"/>
      <c r="W169" s="75"/>
      <c r="Y169" s="75"/>
      <c r="AC169" s="75"/>
      <c r="AH169" s="76"/>
      <c r="AK169" s="71"/>
      <c r="AM169" s="71"/>
      <c r="AN169" s="71"/>
      <c r="AO169" s="71" t="s">
        <v>198</v>
      </c>
      <c r="AP169" s="71" t="s">
        <v>225</v>
      </c>
      <c r="AQ169" s="71"/>
      <c r="AS169" s="71" t="s">
        <v>200</v>
      </c>
      <c r="AT169" s="75" t="s">
        <v>214</v>
      </c>
      <c r="AV169" s="75" t="s">
        <v>218</v>
      </c>
      <c r="AW169" s="75" t="s">
        <v>204</v>
      </c>
      <c r="AX169" s="75" t="str">
        <f t="shared" si="22"/>
        <v>IVAN DARIO RODRIGUEZ BUSTAMANTE</v>
      </c>
      <c r="BA169" s="75" t="s">
        <v>202</v>
      </c>
      <c r="BB169" s="75" t="str">
        <f t="shared" si="25"/>
        <v>MELISSA ANDREA LAITON GARNICA</v>
      </c>
      <c r="BE169" s="75" t="s">
        <v>208</v>
      </c>
      <c r="BF169" s="75" t="s">
        <v>278</v>
      </c>
      <c r="BI169" s="75" t="s">
        <v>196</v>
      </c>
      <c r="BJ169" s="75" t="s">
        <v>539</v>
      </c>
      <c r="BL169" s="75" t="s">
        <v>209</v>
      </c>
      <c r="BM169" s="75" t="s">
        <v>228</v>
      </c>
      <c r="BP169" s="73" t="s">
        <v>382</v>
      </c>
      <c r="BQ169" s="78" t="str">
        <f t="shared" si="21"/>
        <v>COM INV FIS EMP SST</v>
      </c>
      <c r="BR169" s="78" t="str">
        <f t="shared" si="24"/>
        <v>INV FIS EMP SST</v>
      </c>
      <c r="BS169" s="78" t="str">
        <f t="shared" si="16"/>
        <v>INV FIS SST</v>
      </c>
      <c r="BT169" s="78" t="str">
        <f>VLOOKUP(A169,[2]Hoja1!$A$2:$B$123,2,FALSE)</f>
        <v>BIL</v>
      </c>
      <c r="BU169" s="71">
        <v>57</v>
      </c>
      <c r="BV169" s="71" t="s">
        <v>537</v>
      </c>
      <c r="BW169" s="81">
        <f>VLOOKUP(A169,[2]PE04!$A$7:$A$328,1,FALSE)</f>
        <v>3235890</v>
      </c>
      <c r="BX169" s="81" t="str">
        <f>IFERROR(VLOOKUP( 5,[2]PE04!A94:G421,8,FALSE), "No encontrado")</f>
        <v>No encontrado</v>
      </c>
    </row>
    <row r="170" spans="1:76" ht="13.5" customHeight="1" x14ac:dyDescent="0.25">
      <c r="A170" s="70">
        <v>3235891</v>
      </c>
      <c r="B170" s="71" t="s">
        <v>245</v>
      </c>
      <c r="C170" s="71">
        <v>59</v>
      </c>
      <c r="D170" s="72" t="s">
        <v>271</v>
      </c>
      <c r="E170" s="73" t="s">
        <v>102</v>
      </c>
      <c r="F170" s="74">
        <f t="shared" si="17"/>
        <v>46448</v>
      </c>
      <c r="G170" s="73" t="s">
        <v>121</v>
      </c>
      <c r="H170" s="73"/>
      <c r="K170" s="71" t="s">
        <v>387</v>
      </c>
      <c r="M170" s="70" t="s">
        <v>387</v>
      </c>
      <c r="O170" s="71" t="s">
        <v>192</v>
      </c>
      <c r="P170" s="72" t="s">
        <v>387</v>
      </c>
      <c r="Q170" s="71" t="s">
        <v>274</v>
      </c>
      <c r="U170" s="75"/>
      <c r="W170" s="75"/>
      <c r="Y170" s="75"/>
      <c r="AC170" s="75"/>
      <c r="AH170" s="76"/>
      <c r="AK170" s="71"/>
      <c r="AM170" s="71"/>
      <c r="AN170" s="71"/>
      <c r="AO170" s="71" t="s">
        <v>198</v>
      </c>
      <c r="AP170" s="71" t="s">
        <v>199</v>
      </c>
      <c r="AQ170" s="71"/>
      <c r="AS170" s="71" t="s">
        <v>200</v>
      </c>
      <c r="AT170" s="75" t="s">
        <v>214</v>
      </c>
      <c r="AV170" s="75" t="s">
        <v>218</v>
      </c>
      <c r="AW170" s="75" t="s">
        <v>204</v>
      </c>
      <c r="AX170" s="75" t="str">
        <f t="shared" si="22"/>
        <v>OLGA STELLA PARDO SARAY</v>
      </c>
      <c r="BA170" s="75" t="s">
        <v>202</v>
      </c>
      <c r="BB170" s="75" t="str">
        <f t="shared" si="25"/>
        <v>MELISSA ANDREA LAITON GARNICA</v>
      </c>
      <c r="BE170" s="75" t="s">
        <v>196</v>
      </c>
      <c r="BF170" s="75" t="s">
        <v>267</v>
      </c>
      <c r="BI170" s="75" t="s">
        <v>208</v>
      </c>
      <c r="BJ170" s="75" t="s">
        <v>239</v>
      </c>
      <c r="BL170" s="75" t="s">
        <v>209</v>
      </c>
      <c r="BM170" s="75" t="s">
        <v>228</v>
      </c>
      <c r="BP170" s="73" t="s">
        <v>388</v>
      </c>
      <c r="BQ170" s="78" t="str">
        <f t="shared" si="21"/>
        <v>INV FIS EMP SST DER</v>
      </c>
      <c r="BR170" s="78" t="str">
        <f t="shared" si="24"/>
        <v>INV FIS EMP SST</v>
      </c>
      <c r="BS170" s="78" t="str">
        <f t="shared" si="16"/>
        <v>INV FIS SST</v>
      </c>
      <c r="BT170" s="78" t="str">
        <f>VLOOKUP(A170,[2]Hoja1!$A$2:$B$123,2,FALSE)</f>
        <v>BIL</v>
      </c>
      <c r="BU170" s="71">
        <v>59</v>
      </c>
      <c r="BV170" s="71" t="s">
        <v>537</v>
      </c>
      <c r="BW170" s="81">
        <f>VLOOKUP(A170,[2]PE04!$A$7:$A$328,1,FALSE)</f>
        <v>3235891</v>
      </c>
      <c r="BX170" s="81" t="str">
        <f>IFERROR(VLOOKUP( 5,[2]PE04!A95:G422,8,FALSE), "No encontrado")</f>
        <v>No encontrado</v>
      </c>
    </row>
    <row r="171" spans="1:76" ht="13.5" customHeight="1" x14ac:dyDescent="0.25">
      <c r="A171" s="70">
        <v>3235892</v>
      </c>
      <c r="B171" s="71" t="s">
        <v>245</v>
      </c>
      <c r="C171" s="71">
        <v>56</v>
      </c>
      <c r="D171" s="72" t="s">
        <v>271</v>
      </c>
      <c r="E171" s="73" t="s">
        <v>102</v>
      </c>
      <c r="F171" s="74">
        <f t="shared" si="17"/>
        <v>46448</v>
      </c>
      <c r="G171" s="73" t="s">
        <v>121</v>
      </c>
      <c r="H171" s="73"/>
      <c r="K171" s="71" t="s">
        <v>387</v>
      </c>
      <c r="M171" s="70" t="s">
        <v>387</v>
      </c>
      <c r="O171" s="71" t="s">
        <v>192</v>
      </c>
      <c r="P171" s="72" t="s">
        <v>387</v>
      </c>
      <c r="Q171" s="71" t="s">
        <v>274</v>
      </c>
      <c r="U171" s="75"/>
      <c r="W171" s="75"/>
      <c r="Y171" s="75"/>
      <c r="AC171" s="75"/>
      <c r="AH171" s="76"/>
      <c r="AK171" s="71"/>
      <c r="AM171" s="71"/>
      <c r="AN171" s="71"/>
      <c r="AO171" s="71" t="s">
        <v>198</v>
      </c>
      <c r="AP171" s="71" t="s">
        <v>299</v>
      </c>
      <c r="AQ171" s="71"/>
      <c r="AS171" s="71" t="s">
        <v>200</v>
      </c>
      <c r="AT171" s="75" t="s">
        <v>220</v>
      </c>
      <c r="AV171" s="75" t="s">
        <v>218</v>
      </c>
      <c r="AW171" s="75" t="s">
        <v>209</v>
      </c>
      <c r="AX171" s="75" t="str">
        <f t="shared" si="22"/>
        <v>ALBERTO ANTONIO TAPIA TORRES</v>
      </c>
      <c r="BA171" s="75" t="s">
        <v>202</v>
      </c>
      <c r="BB171" s="75" t="str">
        <f t="shared" si="25"/>
        <v>MELISSA ANDREA LAITON GARNICA</v>
      </c>
      <c r="BE171" s="75" t="s">
        <v>204</v>
      </c>
      <c r="BF171" s="75" t="s">
        <v>217</v>
      </c>
      <c r="BI171" s="75" t="s">
        <v>196</v>
      </c>
      <c r="BJ171" s="75" t="s">
        <v>539</v>
      </c>
      <c r="BL171" s="75" t="s">
        <v>208</v>
      </c>
      <c r="BM171" s="75" t="s">
        <v>235</v>
      </c>
      <c r="BP171" s="71" t="s">
        <v>388</v>
      </c>
      <c r="BQ171" s="78" t="str">
        <f t="shared" si="21"/>
        <v>COM INV FIS SST DER</v>
      </c>
      <c r="BR171" s="78" t="str">
        <f t="shared" si="24"/>
        <v>INV FIS SST DER</v>
      </c>
      <c r="BS171" s="78" t="str">
        <f t="shared" si="16"/>
        <v>INV FIS SST</v>
      </c>
      <c r="BT171" s="78" t="str">
        <f>VLOOKUP(A171,[2]Hoja1!$A$2:$B$123,2,FALSE)</f>
        <v>BIL</v>
      </c>
      <c r="BU171" s="71">
        <v>59</v>
      </c>
      <c r="BV171" s="71" t="s">
        <v>537</v>
      </c>
      <c r="BW171" s="81">
        <f>VLOOKUP(A171,[2]PE04!$A$7:$A$328,1,FALSE)</f>
        <v>3235892</v>
      </c>
      <c r="BX171" s="81" t="str">
        <f>IFERROR(VLOOKUP( 5,[2]PE04!A96:G423,8,FALSE), "No encontrado")</f>
        <v>No encontrado</v>
      </c>
    </row>
    <row r="172" spans="1:76" ht="13.5" customHeight="1" x14ac:dyDescent="0.25">
      <c r="A172" s="70">
        <v>3235893</v>
      </c>
      <c r="B172" s="71" t="s">
        <v>245</v>
      </c>
      <c r="C172" s="71">
        <v>54</v>
      </c>
      <c r="D172" s="72" t="s">
        <v>271</v>
      </c>
      <c r="E172" s="73" t="s">
        <v>102</v>
      </c>
      <c r="F172" s="74">
        <f t="shared" si="17"/>
        <v>46448</v>
      </c>
      <c r="G172" s="73" t="s">
        <v>121</v>
      </c>
      <c r="H172" s="73"/>
      <c r="K172" s="71" t="s">
        <v>389</v>
      </c>
      <c r="M172" s="70" t="s">
        <v>389</v>
      </c>
      <c r="O172" s="71" t="s">
        <v>329</v>
      </c>
      <c r="P172" s="72" t="s">
        <v>473</v>
      </c>
      <c r="Q172" s="71" t="s">
        <v>274</v>
      </c>
      <c r="U172" s="75"/>
      <c r="W172" s="75"/>
      <c r="Y172" s="75"/>
      <c r="AC172" s="75"/>
      <c r="AH172" s="76"/>
      <c r="AK172" s="71"/>
      <c r="AM172" s="71"/>
      <c r="AN172" s="71"/>
      <c r="AO172" s="71" t="s">
        <v>198</v>
      </c>
      <c r="AP172" s="71" t="s">
        <v>253</v>
      </c>
      <c r="AQ172" s="71"/>
      <c r="AS172" s="71" t="s">
        <v>200</v>
      </c>
      <c r="AT172" s="75" t="s">
        <v>214</v>
      </c>
      <c r="AV172" s="75" t="s">
        <v>218</v>
      </c>
      <c r="AW172" s="75" t="s">
        <v>209</v>
      </c>
      <c r="AX172" s="75" t="str">
        <f t="shared" si="22"/>
        <v>ESTEFANIA SANDOVAL CRUZ</v>
      </c>
      <c r="BA172" s="75" t="s">
        <v>202</v>
      </c>
      <c r="BB172" s="75" t="str">
        <f t="shared" si="25"/>
        <v>CHRISTIAN CAMILO RODRIGUEZ SALAS</v>
      </c>
      <c r="BE172" s="75" t="s">
        <v>204</v>
      </c>
      <c r="BF172" s="75" t="s">
        <v>217</v>
      </c>
      <c r="BI172" s="75" t="s">
        <v>196</v>
      </c>
      <c r="BJ172" s="75" t="s">
        <v>539</v>
      </c>
      <c r="BL172" s="75" t="s">
        <v>208</v>
      </c>
      <c r="BM172" s="75" t="s">
        <v>235</v>
      </c>
      <c r="BP172" s="71" t="s">
        <v>388</v>
      </c>
      <c r="BQ172" s="78" t="str">
        <f t="shared" si="21"/>
        <v>COM INV FIS SST DER</v>
      </c>
      <c r="BR172" s="78" t="str">
        <f t="shared" si="24"/>
        <v>INV FIS SST DER</v>
      </c>
      <c r="BS172" s="78" t="str">
        <f t="shared" si="16"/>
        <v>INV FIS SST</v>
      </c>
      <c r="BT172" s="78" t="str">
        <f>VLOOKUP(A172,[2]Hoja1!$A$2:$B$123,2,FALSE)</f>
        <v>BIL</v>
      </c>
      <c r="BU172" s="71">
        <v>56</v>
      </c>
      <c r="BV172" s="71" t="s">
        <v>537</v>
      </c>
      <c r="BW172" s="81">
        <f>VLOOKUP(A172,[2]PE04!$A$7:$A$328,1,FALSE)</f>
        <v>3235893</v>
      </c>
      <c r="BX172" s="81" t="str">
        <f>IFERROR(VLOOKUP( 5,[2]PE04!A97:G424,8,FALSE), "No encontrado")</f>
        <v>No encontrado</v>
      </c>
    </row>
    <row r="173" spans="1:76" ht="13.5" customHeight="1" x14ac:dyDescent="0.25">
      <c r="A173" s="70">
        <v>3235894</v>
      </c>
      <c r="B173" s="71" t="s">
        <v>245</v>
      </c>
      <c r="C173" s="71">
        <v>59</v>
      </c>
      <c r="D173" s="72" t="s">
        <v>271</v>
      </c>
      <c r="E173" s="73" t="s">
        <v>102</v>
      </c>
      <c r="F173" s="74">
        <f t="shared" si="17"/>
        <v>46448</v>
      </c>
      <c r="G173" s="73" t="s">
        <v>121</v>
      </c>
      <c r="H173" s="73"/>
      <c r="K173" s="71" t="s">
        <v>389</v>
      </c>
      <c r="M173" s="70" t="s">
        <v>389</v>
      </c>
      <c r="O173" s="71" t="s">
        <v>329</v>
      </c>
      <c r="P173" s="72" t="s">
        <v>473</v>
      </c>
      <c r="Q173" s="71" t="s">
        <v>274</v>
      </c>
      <c r="U173" s="75"/>
      <c r="W173" s="75"/>
      <c r="Y173" s="75"/>
      <c r="AC173" s="75"/>
      <c r="AH173" s="76"/>
      <c r="AK173" s="71"/>
      <c r="AM173" s="71"/>
      <c r="AN173" s="71"/>
      <c r="AO173" s="71" t="s">
        <v>198</v>
      </c>
      <c r="AP173" s="71" t="s">
        <v>225</v>
      </c>
      <c r="AQ173" s="71"/>
      <c r="AS173" s="71" t="s">
        <v>200</v>
      </c>
      <c r="AT173" s="75" t="s">
        <v>201</v>
      </c>
      <c r="AV173" s="75" t="s">
        <v>218</v>
      </c>
      <c r="AW173" s="75" t="s">
        <v>209</v>
      </c>
      <c r="AX173" s="75" t="str">
        <f t="shared" si="22"/>
        <v>ESTEFANIA SANDOVAL CRUZ</v>
      </c>
      <c r="BA173" s="75" t="s">
        <v>202</v>
      </c>
      <c r="BB173" s="75" t="str">
        <f t="shared" si="25"/>
        <v>CHRISTIAN CAMILO RODRIGUEZ SALAS</v>
      </c>
      <c r="BE173" s="75" t="s">
        <v>204</v>
      </c>
      <c r="BF173" s="75" t="s">
        <v>217</v>
      </c>
      <c r="BI173" s="75" t="s">
        <v>254</v>
      </c>
      <c r="BJ173" s="75" t="s">
        <v>324</v>
      </c>
      <c r="BL173" s="75" t="s">
        <v>196</v>
      </c>
      <c r="BM173" s="75" t="s">
        <v>539</v>
      </c>
      <c r="BP173" s="71" t="s">
        <v>388</v>
      </c>
      <c r="BQ173" s="78" t="str">
        <f t="shared" si="21"/>
        <v>COM INV FIS SST DER</v>
      </c>
      <c r="BR173" s="78" t="str">
        <f t="shared" si="24"/>
        <v>COM FIS SST DER</v>
      </c>
      <c r="BS173" s="78" t="str">
        <f t="shared" si="16"/>
        <v>FIS SST DER</v>
      </c>
      <c r="BT173" s="78" t="str">
        <f>VLOOKUP(A173,[2]Hoja1!$A$2:$B$123,2,FALSE)</f>
        <v>BIL</v>
      </c>
      <c r="BU173" s="71">
        <v>54</v>
      </c>
      <c r="BV173" s="71" t="s">
        <v>537</v>
      </c>
      <c r="BW173" s="81">
        <f>VLOOKUP(A173,[2]PE04!$A$7:$A$328,1,FALSE)</f>
        <v>3235894</v>
      </c>
      <c r="BX173" s="81" t="str">
        <f>IFERROR(VLOOKUP( 5,[2]PE04!A98:G425,8,FALSE), "No encontrado")</f>
        <v>No encontrado</v>
      </c>
    </row>
    <row r="174" spans="1:76" ht="13.5" customHeight="1" x14ac:dyDescent="0.25">
      <c r="A174" s="70">
        <v>3235895</v>
      </c>
      <c r="B174" s="71" t="s">
        <v>245</v>
      </c>
      <c r="C174" s="71">
        <v>59</v>
      </c>
      <c r="D174" s="72" t="s">
        <v>271</v>
      </c>
      <c r="E174" s="73" t="s">
        <v>102</v>
      </c>
      <c r="F174" s="74">
        <f t="shared" si="17"/>
        <v>46448</v>
      </c>
      <c r="G174" s="73" t="s">
        <v>121</v>
      </c>
      <c r="H174" s="73"/>
      <c r="K174" s="71" t="s">
        <v>389</v>
      </c>
      <c r="M174" s="70" t="s">
        <v>389</v>
      </c>
      <c r="O174" s="71" t="s">
        <v>329</v>
      </c>
      <c r="P174" s="72" t="s">
        <v>473</v>
      </c>
      <c r="Q174" s="71" t="s">
        <v>274</v>
      </c>
      <c r="U174" s="75"/>
      <c r="W174" s="75"/>
      <c r="Y174" s="75"/>
      <c r="AC174" s="75"/>
      <c r="AH174" s="76"/>
      <c r="AK174" s="71"/>
      <c r="AM174" s="71"/>
      <c r="AN174" s="71"/>
      <c r="AO174" s="71" t="s">
        <v>198</v>
      </c>
      <c r="AP174" s="71" t="s">
        <v>199</v>
      </c>
      <c r="AQ174" s="71"/>
      <c r="AS174" s="71" t="s">
        <v>200</v>
      </c>
      <c r="AT174" s="75" t="s">
        <v>220</v>
      </c>
      <c r="AV174" s="75" t="s">
        <v>218</v>
      </c>
      <c r="AW174" s="75" t="s">
        <v>209</v>
      </c>
      <c r="AX174" s="75" t="str">
        <f t="shared" si="22"/>
        <v>LUIS ARTURO BASTIDAS</v>
      </c>
      <c r="BA174" s="75" t="s">
        <v>202</v>
      </c>
      <c r="BB174" s="75" t="str">
        <f t="shared" si="25"/>
        <v>MELISSA ANDREA LAITON GARNICA</v>
      </c>
      <c r="BE174" s="75" t="s">
        <v>204</v>
      </c>
      <c r="BF174" s="75" t="s">
        <v>217</v>
      </c>
      <c r="BI174" s="75" t="s">
        <v>208</v>
      </c>
      <c r="BJ174" s="75" t="s">
        <v>235</v>
      </c>
      <c r="BL174" s="75" t="s">
        <v>196</v>
      </c>
      <c r="BM174" s="75" t="s">
        <v>267</v>
      </c>
      <c r="BP174" s="71" t="s">
        <v>390</v>
      </c>
      <c r="BQ174" s="78" t="str">
        <f t="shared" si="21"/>
        <v>COM INV FIS SST DER</v>
      </c>
      <c r="BR174" s="78" t="str">
        <f t="shared" si="24"/>
        <v>COM INV FIS SST</v>
      </c>
      <c r="BS174" s="78" t="str">
        <f t="shared" ref="BS174:BS237" si="26">TRIM(SUBSTITUTE(SUBSTITUTE(SUBSTITUTE(SUBSTITUTE(SUBSTITUTE(SUBSTITUTE(SUBSTITUTE(SUBSTITUTE(SUBSTITUTE(SUBSTITUTE(SUBSTITUTE(SUBSTITUTE(SUBSTITUTE(SUBSTITUTE(SUBSTITUTE(SUBSTITUTE(SUBSTITUTE(SUBSTITUTE(SUBSTITUTE(Q174,Y174,""),AA174,""),AC174,""),AE174,""),AG174,""),AK174,""),AO174,""),AQ174,""),AS174,""),AU174,""),AW174,""),AY174,""),BA174,""),BC174,""),BE174,""),BG174,""),BI174,""),BL174,""),BN174,""))</f>
        <v>INV FIS SST</v>
      </c>
      <c r="BT174" s="78" t="str">
        <f>VLOOKUP(A174,[2]Hoja1!$A$2:$B$123,2,FALSE)</f>
        <v>BIL</v>
      </c>
      <c r="BU174" s="71">
        <v>59</v>
      </c>
      <c r="BV174" s="71" t="s">
        <v>537</v>
      </c>
      <c r="BW174" s="81">
        <f>VLOOKUP(A174,[2]PE04!$A$7:$A$328,1,FALSE)</f>
        <v>3235895</v>
      </c>
      <c r="BX174" s="81" t="str">
        <f>IFERROR(VLOOKUP( 5,[2]PE04!A99:G426,8,FALSE), "No encontrado")</f>
        <v>No encontrado</v>
      </c>
    </row>
    <row r="175" spans="1:76" ht="13.5" customHeight="1" x14ac:dyDescent="0.25">
      <c r="A175" s="70">
        <v>3235896</v>
      </c>
      <c r="B175" s="71" t="s">
        <v>245</v>
      </c>
      <c r="C175" s="71">
        <v>57</v>
      </c>
      <c r="D175" s="72" t="s">
        <v>271</v>
      </c>
      <c r="E175" s="73" t="s">
        <v>102</v>
      </c>
      <c r="F175" s="74">
        <f t="shared" si="17"/>
        <v>46448</v>
      </c>
      <c r="G175" s="73" t="s">
        <v>121</v>
      </c>
      <c r="H175" s="73"/>
      <c r="K175" s="71" t="s">
        <v>389</v>
      </c>
      <c r="M175" s="70" t="s">
        <v>389</v>
      </c>
      <c r="O175" s="71" t="s">
        <v>329</v>
      </c>
      <c r="P175" s="72" t="s">
        <v>473</v>
      </c>
      <c r="Q175" s="71" t="s">
        <v>274</v>
      </c>
      <c r="U175" s="75"/>
      <c r="W175" s="75"/>
      <c r="Y175" s="75"/>
      <c r="AC175" s="75"/>
      <c r="AH175" s="76"/>
      <c r="AK175" s="71"/>
      <c r="AM175" s="71"/>
      <c r="AN175" s="71"/>
      <c r="AO175" s="71" t="s">
        <v>198</v>
      </c>
      <c r="AP175" s="71" t="s">
        <v>299</v>
      </c>
      <c r="AQ175" s="71"/>
      <c r="AS175" s="71" t="s">
        <v>200</v>
      </c>
      <c r="AT175" s="75" t="s">
        <v>201</v>
      </c>
      <c r="AV175" s="75" t="s">
        <v>218</v>
      </c>
      <c r="AW175" s="75" t="s">
        <v>209</v>
      </c>
      <c r="AX175" s="75" t="str">
        <f t="shared" si="22"/>
        <v>ALBERTO ANTONIO TAPIA TORRES</v>
      </c>
      <c r="BA175" s="75" t="s">
        <v>208</v>
      </c>
      <c r="BB175" s="75" t="str">
        <f t="shared" si="25"/>
        <v>HECTOR ANDRES CIPAMOCHA CENTENO</v>
      </c>
      <c r="BE175" s="75" t="s">
        <v>204</v>
      </c>
      <c r="BF175" s="75" t="s">
        <v>217</v>
      </c>
      <c r="BI175" s="75" t="s">
        <v>254</v>
      </c>
      <c r="BJ175" s="75" t="s">
        <v>324</v>
      </c>
      <c r="BL175" s="75" t="s">
        <v>206</v>
      </c>
      <c r="BM175" s="75" t="s">
        <v>555</v>
      </c>
      <c r="BP175" s="71" t="s">
        <v>391</v>
      </c>
      <c r="BQ175" s="78" t="str">
        <f t="shared" si="21"/>
        <v>COM INV FIS SST CUL</v>
      </c>
      <c r="BR175" s="78" t="str">
        <f t="shared" si="24"/>
        <v>COM FIS SST CUL</v>
      </c>
      <c r="BS175" s="78" t="str">
        <f t="shared" si="26"/>
        <v>COM FIS CUL</v>
      </c>
      <c r="BT175" s="78" t="str">
        <f>VLOOKUP(A175,[2]Hoja1!$A$2:$B$123,2,FALSE)</f>
        <v>BIL</v>
      </c>
      <c r="BU175" s="71">
        <v>59</v>
      </c>
      <c r="BV175" s="71" t="s">
        <v>537</v>
      </c>
      <c r="BW175" s="81">
        <f>VLOOKUP(A175,[2]PE04!$A$7:$A$328,1,FALSE)</f>
        <v>3235896</v>
      </c>
      <c r="BX175" s="81" t="str">
        <f>IFERROR(VLOOKUP( 5,[2]PE04!A100:G427,8,FALSE), "No encontrado")</f>
        <v>No encontrado</v>
      </c>
    </row>
    <row r="176" spans="1:76" ht="13.5" customHeight="1" x14ac:dyDescent="0.25">
      <c r="A176" s="70">
        <v>3235912</v>
      </c>
      <c r="B176" s="71" t="s">
        <v>245</v>
      </c>
      <c r="C176" s="71">
        <v>61</v>
      </c>
      <c r="D176" s="72" t="s">
        <v>392</v>
      </c>
      <c r="E176" s="73" t="s">
        <v>102</v>
      </c>
      <c r="F176" s="74">
        <f t="shared" si="17"/>
        <v>46448</v>
      </c>
      <c r="G176" s="73" t="s">
        <v>121</v>
      </c>
      <c r="H176" s="73"/>
      <c r="K176" s="71" t="s">
        <v>393</v>
      </c>
      <c r="M176" s="70" t="s">
        <v>393</v>
      </c>
      <c r="O176" s="71" t="s">
        <v>329</v>
      </c>
      <c r="P176" s="72" t="s">
        <v>393</v>
      </c>
      <c r="Q176" s="71" t="s">
        <v>394</v>
      </c>
      <c r="U176" s="75"/>
      <c r="W176" s="75"/>
      <c r="Y176" s="75"/>
      <c r="AC176" s="75"/>
      <c r="AH176" s="76"/>
      <c r="AK176" s="71"/>
      <c r="AM176" s="71"/>
      <c r="AN176" s="71"/>
      <c r="AO176" s="71" t="s">
        <v>200</v>
      </c>
      <c r="AP176" s="71" t="s">
        <v>220</v>
      </c>
      <c r="AQ176" s="71"/>
      <c r="AS176" s="71" t="s">
        <v>242</v>
      </c>
      <c r="AT176" s="75" t="s">
        <v>243</v>
      </c>
      <c r="AV176" s="75" t="s">
        <v>218</v>
      </c>
      <c r="AW176" s="75" t="s">
        <v>198</v>
      </c>
      <c r="AX176" s="75" t="str">
        <f t="shared" si="22"/>
        <v>ERICK RUIZ NOREÑA</v>
      </c>
      <c r="BA176" s="75" t="s">
        <v>208</v>
      </c>
      <c r="BB176" s="75" t="str">
        <f t="shared" si="25"/>
        <v>LAURA STHEPHANIA SANCHEZ PABON</v>
      </c>
      <c r="BE176" s="75" t="s">
        <v>204</v>
      </c>
      <c r="BF176" s="75" t="s">
        <v>205</v>
      </c>
      <c r="BI176" s="75" t="s">
        <v>209</v>
      </c>
      <c r="BJ176" s="75" t="s">
        <v>228</v>
      </c>
      <c r="BL176" s="75" t="s">
        <v>196</v>
      </c>
      <c r="BM176" s="75" t="s">
        <v>267</v>
      </c>
      <c r="BP176" s="71" t="s">
        <v>395</v>
      </c>
      <c r="BQ176" s="78" t="str">
        <f t="shared" si="21"/>
        <v>COM CUL SST INV EMP</v>
      </c>
      <c r="BR176" s="78" t="str">
        <f t="shared" si="24"/>
        <v>COM CUL SST INV</v>
      </c>
      <c r="BS176" s="78" t="str">
        <f t="shared" si="26"/>
        <v>CUL SST INV</v>
      </c>
      <c r="BT176" s="78" t="str">
        <f>VLOOKUP(A176,[2]Hoja1!$A$2:$B$123,2,FALSE)</f>
        <v>BIL</v>
      </c>
      <c r="BU176" s="71">
        <v>57</v>
      </c>
      <c r="BV176" s="71" t="s">
        <v>537</v>
      </c>
      <c r="BW176" s="81">
        <f>VLOOKUP(A176,[2]PE04!$A$7:$A$328,1,FALSE)</f>
        <v>3235912</v>
      </c>
      <c r="BX176" s="81" t="str">
        <f>IFERROR(VLOOKUP( 5,[2]PE04!A101:G428,8,FALSE), "No encontrado")</f>
        <v>No encontrado</v>
      </c>
    </row>
    <row r="177" spans="1:76" ht="13.5" customHeight="1" x14ac:dyDescent="0.25">
      <c r="A177" s="70">
        <v>3235913</v>
      </c>
      <c r="B177" s="71" t="s">
        <v>245</v>
      </c>
      <c r="C177" s="71">
        <v>69</v>
      </c>
      <c r="D177" s="72" t="s">
        <v>392</v>
      </c>
      <c r="E177" s="73" t="s">
        <v>102</v>
      </c>
      <c r="F177" s="74">
        <f t="shared" si="17"/>
        <v>46448</v>
      </c>
      <c r="G177" s="73" t="s">
        <v>121</v>
      </c>
      <c r="H177" s="73"/>
      <c r="K177" s="71" t="s">
        <v>393</v>
      </c>
      <c r="M177" s="70" t="s">
        <v>393</v>
      </c>
      <c r="O177" s="71" t="s">
        <v>300</v>
      </c>
      <c r="P177" s="72" t="s">
        <v>393</v>
      </c>
      <c r="Q177" s="71" t="s">
        <v>394</v>
      </c>
      <c r="U177" s="75"/>
      <c r="W177" s="75"/>
      <c r="Y177" s="75"/>
      <c r="AC177" s="75"/>
      <c r="AH177" s="76"/>
      <c r="AK177" s="71"/>
      <c r="AM177" s="71"/>
      <c r="AN177" s="71"/>
      <c r="AO177" s="71" t="s">
        <v>200</v>
      </c>
      <c r="AP177" s="71" t="s">
        <v>201</v>
      </c>
      <c r="AQ177" s="71"/>
      <c r="AS177" s="71" t="s">
        <v>242</v>
      </c>
      <c r="AT177" s="75" t="s">
        <v>243</v>
      </c>
      <c r="AV177" s="75" t="s">
        <v>218</v>
      </c>
      <c r="AW177" s="75" t="s">
        <v>209</v>
      </c>
      <c r="AX177" s="75" t="str">
        <f t="shared" si="22"/>
        <v>ALBERTO ANTONIO TAPIA TORRES</v>
      </c>
      <c r="BA177" s="75" t="s">
        <v>208</v>
      </c>
      <c r="BB177" s="75" t="str">
        <f t="shared" si="25"/>
        <v>MARIA CAROLINA GOMEZ CALLE</v>
      </c>
      <c r="BE177" s="75" t="s">
        <v>204</v>
      </c>
      <c r="BF177" s="75" t="s">
        <v>205</v>
      </c>
      <c r="BI177" s="75" t="s">
        <v>198</v>
      </c>
      <c r="BJ177" s="75" t="s">
        <v>225</v>
      </c>
      <c r="BL177" s="75" t="s">
        <v>196</v>
      </c>
      <c r="BM177" s="75" t="s">
        <v>267</v>
      </c>
      <c r="BP177" s="71" t="s">
        <v>391</v>
      </c>
      <c r="BQ177" s="78" t="str">
        <f t="shared" si="21"/>
        <v>COM TIC CUL SST INV</v>
      </c>
      <c r="BR177" s="78" t="str">
        <f t="shared" si="24"/>
        <v>COM CUL SST INV</v>
      </c>
      <c r="BS177" s="78" t="str">
        <f t="shared" si="26"/>
        <v>CUL SST INV</v>
      </c>
      <c r="BT177" s="78" t="str">
        <f>VLOOKUP(A177,[2]Hoja1!$A$2:$B$123,2,FALSE)</f>
        <v>BIL</v>
      </c>
      <c r="BU177" s="71">
        <v>61</v>
      </c>
      <c r="BV177" s="71" t="s">
        <v>537</v>
      </c>
      <c r="BW177" s="81">
        <f>VLOOKUP(A177,[2]PE04!$A$7:$A$328,1,FALSE)</f>
        <v>3235913</v>
      </c>
      <c r="BX177" s="81" t="str">
        <f>IFERROR(VLOOKUP( 5,[2]PE04!A102:G429,8,FALSE), "No encontrado")</f>
        <v>No encontrado</v>
      </c>
    </row>
    <row r="178" spans="1:76" ht="13.5" customHeight="1" x14ac:dyDescent="0.25">
      <c r="A178" s="70">
        <v>3235914</v>
      </c>
      <c r="B178" s="71" t="s">
        <v>245</v>
      </c>
      <c r="C178" s="71">
        <v>59</v>
      </c>
      <c r="D178" s="72" t="s">
        <v>392</v>
      </c>
      <c r="E178" s="73" t="s">
        <v>102</v>
      </c>
      <c r="F178" s="74">
        <f t="shared" si="17"/>
        <v>46448</v>
      </c>
      <c r="G178" s="73" t="s">
        <v>121</v>
      </c>
      <c r="H178" s="73"/>
      <c r="K178" s="71" t="s">
        <v>393</v>
      </c>
      <c r="M178" s="70" t="s">
        <v>393</v>
      </c>
      <c r="O178" s="71" t="s">
        <v>300</v>
      </c>
      <c r="P178" s="72" t="s">
        <v>393</v>
      </c>
      <c r="Q178" s="71" t="s">
        <v>394</v>
      </c>
      <c r="U178" s="75"/>
      <c r="W178" s="75"/>
      <c r="Y178" s="75"/>
      <c r="AC178" s="75"/>
      <c r="AH178" s="76"/>
      <c r="AK178" s="71"/>
      <c r="AM178" s="71"/>
      <c r="AN178" s="71"/>
      <c r="AO178" s="71" t="s">
        <v>200</v>
      </c>
      <c r="AP178" s="71" t="s">
        <v>214</v>
      </c>
      <c r="AQ178" s="71"/>
      <c r="AS178" s="71" t="s">
        <v>242</v>
      </c>
      <c r="AT178" s="75" t="s">
        <v>243</v>
      </c>
      <c r="AV178" s="75" t="s">
        <v>218</v>
      </c>
      <c r="AW178" s="75" t="s">
        <v>209</v>
      </c>
      <c r="AX178" s="75" t="str">
        <f t="shared" si="22"/>
        <v>LUIS ARTURO BASTIDAS</v>
      </c>
      <c r="BA178" s="75" t="s">
        <v>208</v>
      </c>
      <c r="BB178" s="75" t="str">
        <f t="shared" si="25"/>
        <v>MARIA CAROLINA GOMEZ CALLE</v>
      </c>
      <c r="BE178" s="75" t="s">
        <v>204</v>
      </c>
      <c r="BF178" s="75" t="s">
        <v>221</v>
      </c>
      <c r="BI178" s="75" t="s">
        <v>198</v>
      </c>
      <c r="BJ178" s="75" t="s">
        <v>225</v>
      </c>
      <c r="BL178" s="75" t="s">
        <v>206</v>
      </c>
      <c r="BM178" s="75" t="s">
        <v>227</v>
      </c>
      <c r="BP178" s="71" t="s">
        <v>391</v>
      </c>
      <c r="BQ178" s="78" t="str">
        <f t="shared" si="21"/>
        <v>COM TIC CUL SST INV</v>
      </c>
      <c r="BR178" s="78" t="str">
        <f t="shared" si="24"/>
        <v>COM CUL SST INV</v>
      </c>
      <c r="BS178" s="78" t="str">
        <f t="shared" si="26"/>
        <v>COM CUL INV</v>
      </c>
      <c r="BT178" s="78" t="str">
        <f>VLOOKUP(A178,[2]Hoja1!$A$2:$B$123,2,FALSE)</f>
        <v>BIL</v>
      </c>
      <c r="BU178" s="71">
        <v>69</v>
      </c>
      <c r="BV178" s="71" t="s">
        <v>537</v>
      </c>
      <c r="BW178" s="81">
        <f>VLOOKUP(A178,[2]PE04!$A$7:$A$328,1,FALSE)</f>
        <v>3235914</v>
      </c>
      <c r="BX178" s="81" t="str">
        <f>IFERROR(VLOOKUP( 5,[2]PE04!A103:G430,8,FALSE), "No encontrado")</f>
        <v>No encontrado</v>
      </c>
    </row>
    <row r="179" spans="1:76" ht="13.5" customHeight="1" x14ac:dyDescent="0.25">
      <c r="A179" s="70">
        <v>3235974</v>
      </c>
      <c r="B179" s="71" t="s">
        <v>245</v>
      </c>
      <c r="C179" s="71">
        <v>72</v>
      </c>
      <c r="D179" s="72" t="s">
        <v>101</v>
      </c>
      <c r="E179" s="73" t="s">
        <v>102</v>
      </c>
      <c r="F179" s="74">
        <f t="shared" si="17"/>
        <v>46448</v>
      </c>
      <c r="G179" s="73" t="s">
        <v>121</v>
      </c>
      <c r="H179" s="73"/>
      <c r="K179" s="71" t="s">
        <v>396</v>
      </c>
      <c r="M179" s="70" t="s">
        <v>396</v>
      </c>
      <c r="O179" s="71" t="s">
        <v>300</v>
      </c>
      <c r="P179" s="72" t="s">
        <v>396</v>
      </c>
      <c r="Q179" s="71" t="s">
        <v>397</v>
      </c>
      <c r="U179" s="75"/>
      <c r="W179" s="75"/>
      <c r="Y179" s="75"/>
      <c r="AC179" s="75"/>
      <c r="AH179" s="76"/>
      <c r="AK179" s="71"/>
      <c r="AM179" s="71"/>
      <c r="AN179" s="71"/>
      <c r="AO179" s="71" t="s">
        <v>254</v>
      </c>
      <c r="AP179" s="71" t="s">
        <v>255</v>
      </c>
      <c r="AQ179" s="71"/>
      <c r="AS179" s="71" t="s">
        <v>204</v>
      </c>
      <c r="AT179" s="75" t="s">
        <v>217</v>
      </c>
      <c r="AV179" s="75" t="s">
        <v>218</v>
      </c>
      <c r="AW179" s="75" t="s">
        <v>198</v>
      </c>
      <c r="AX179" s="75" t="str">
        <f t="shared" si="22"/>
        <v>CRISTINA CASTAÑO CASTILLO</v>
      </c>
      <c r="BA179" s="75" t="s">
        <v>209</v>
      </c>
      <c r="BB179" s="75" t="str">
        <f t="shared" si="25"/>
        <v>LUIS ARTURO BASTIDAS</v>
      </c>
      <c r="BE179" s="75" t="s">
        <v>200</v>
      </c>
      <c r="BF179" s="75" t="s">
        <v>220</v>
      </c>
      <c r="BI179" s="75" t="s">
        <v>208</v>
      </c>
      <c r="BJ179" s="75" t="s">
        <v>235</v>
      </c>
      <c r="BL179" s="75" t="s">
        <v>206</v>
      </c>
      <c r="BM179" s="75" t="s">
        <v>213</v>
      </c>
      <c r="BP179" s="71" t="s">
        <v>395</v>
      </c>
      <c r="BQ179" s="78" t="str">
        <f t="shared" si="21"/>
        <v>COM CIE DER SST CUL</v>
      </c>
      <c r="BR179" s="78" t="str">
        <f t="shared" si="24"/>
        <v>COM CIE SST CUL</v>
      </c>
      <c r="BS179" s="78" t="str">
        <f t="shared" si="26"/>
        <v>COM CIE CUL</v>
      </c>
      <c r="BT179" s="78" t="str">
        <f>VLOOKUP(A179,[2]Hoja1!$A$2:$B$123,2,FALSE)</f>
        <v>BIL</v>
      </c>
      <c r="BU179" s="71">
        <v>60</v>
      </c>
      <c r="BV179" s="71" t="s">
        <v>537</v>
      </c>
      <c r="BW179" s="81">
        <f>VLOOKUP(A179,[2]PE04!$A$7:$A$328,1,FALSE)</f>
        <v>3235974</v>
      </c>
      <c r="BX179" s="81" t="str">
        <f>IFERROR(VLOOKUP( 5,[2]PE04!A104:G431,8,FALSE), "No encontrado")</f>
        <v>No encontrado</v>
      </c>
    </row>
    <row r="180" spans="1:76" ht="13.5" customHeight="1" x14ac:dyDescent="0.25">
      <c r="A180" s="70">
        <v>3235975</v>
      </c>
      <c r="B180" s="71" t="s">
        <v>245</v>
      </c>
      <c r="C180" s="71">
        <v>71</v>
      </c>
      <c r="D180" s="72" t="s">
        <v>101</v>
      </c>
      <c r="E180" s="73" t="s">
        <v>102</v>
      </c>
      <c r="F180" s="74">
        <f t="shared" si="17"/>
        <v>46448</v>
      </c>
      <c r="G180" s="73" t="s">
        <v>121</v>
      </c>
      <c r="H180" s="73"/>
      <c r="K180" s="71" t="s">
        <v>396</v>
      </c>
      <c r="M180" s="70" t="s">
        <v>396</v>
      </c>
      <c r="O180" s="71" t="s">
        <v>300</v>
      </c>
      <c r="P180" s="72" t="s">
        <v>396</v>
      </c>
      <c r="Q180" s="71" t="s">
        <v>397</v>
      </c>
      <c r="U180" s="75"/>
      <c r="W180" s="75"/>
      <c r="Y180" s="75"/>
      <c r="AC180" s="75"/>
      <c r="AH180" s="76"/>
      <c r="AK180" s="71"/>
      <c r="AM180" s="71"/>
      <c r="AN180" s="71"/>
      <c r="AO180" s="71" t="s">
        <v>254</v>
      </c>
      <c r="AP180" s="71" t="s">
        <v>255</v>
      </c>
      <c r="AQ180" s="71"/>
      <c r="AS180" s="71" t="s">
        <v>204</v>
      </c>
      <c r="AT180" s="75" t="s">
        <v>205</v>
      </c>
      <c r="AV180" s="75" t="s">
        <v>218</v>
      </c>
      <c r="AW180" s="75" t="s">
        <v>198</v>
      </c>
      <c r="AX180" s="75" t="str">
        <f t="shared" si="22"/>
        <v>ERICK RUIZ NOREÑA</v>
      </c>
      <c r="BA180" s="75" t="s">
        <v>242</v>
      </c>
      <c r="BB180" s="75" t="str">
        <f t="shared" si="25"/>
        <v>LAURA SOFIA PAEZ GALLO</v>
      </c>
      <c r="BE180" s="75" t="s">
        <v>200</v>
      </c>
      <c r="BF180" s="75" t="s">
        <v>220</v>
      </c>
      <c r="BI180" s="75" t="s">
        <v>208</v>
      </c>
      <c r="BJ180" s="75" t="s">
        <v>235</v>
      </c>
      <c r="BL180" s="75" t="s">
        <v>209</v>
      </c>
      <c r="BM180" s="75" t="s">
        <v>236</v>
      </c>
      <c r="BP180" s="71" t="s">
        <v>395</v>
      </c>
      <c r="BQ180" s="78" t="str">
        <f t="shared" si="21"/>
        <v>COM DER SST EMP CUL</v>
      </c>
      <c r="BR180" s="78" t="str">
        <f t="shared" si="24"/>
        <v>COM SST EMP CUL</v>
      </c>
      <c r="BS180" s="78" t="str">
        <f t="shared" si="26"/>
        <v>COM SST CUL</v>
      </c>
      <c r="BT180" s="78" t="str">
        <f>VLOOKUP(A180,[2]Hoja1!$A$2:$B$123,2,FALSE)</f>
        <v>BIL</v>
      </c>
      <c r="BU180" s="71">
        <v>73</v>
      </c>
      <c r="BV180" s="71" t="s">
        <v>537</v>
      </c>
      <c r="BW180" s="81">
        <f>VLOOKUP(A180,[2]PE04!$A$7:$A$328,1,FALSE)</f>
        <v>3235975</v>
      </c>
      <c r="BX180" s="81" t="str">
        <f>IFERROR(VLOOKUP( 5,[2]PE04!A105:G432,8,FALSE), "No encontrado")</f>
        <v>No encontrado</v>
      </c>
    </row>
    <row r="181" spans="1:76" ht="13.5" customHeight="1" x14ac:dyDescent="0.25">
      <c r="A181" s="70">
        <v>3235976</v>
      </c>
      <c r="B181" s="71" t="s">
        <v>245</v>
      </c>
      <c r="C181" s="71">
        <v>68</v>
      </c>
      <c r="D181" s="72" t="s">
        <v>101</v>
      </c>
      <c r="E181" s="73" t="s">
        <v>102</v>
      </c>
      <c r="F181" s="74">
        <f t="shared" si="17"/>
        <v>46448</v>
      </c>
      <c r="G181" s="73" t="s">
        <v>121</v>
      </c>
      <c r="H181" s="73"/>
      <c r="K181" s="71" t="s">
        <v>396</v>
      </c>
      <c r="M181" s="70" t="s">
        <v>396</v>
      </c>
      <c r="O181" s="71" t="s">
        <v>300</v>
      </c>
      <c r="P181" s="72" t="s">
        <v>396</v>
      </c>
      <c r="Q181" s="71" t="s">
        <v>397</v>
      </c>
      <c r="U181" s="75"/>
      <c r="W181" s="75"/>
      <c r="Y181" s="75"/>
      <c r="AC181" s="75"/>
      <c r="AH181" s="76"/>
      <c r="AK181" s="71"/>
      <c r="AM181" s="71"/>
      <c r="AN181" s="71"/>
      <c r="AO181" s="71" t="s">
        <v>254</v>
      </c>
      <c r="AP181" s="71" t="s">
        <v>255</v>
      </c>
      <c r="AQ181" s="71"/>
      <c r="AS181" s="71" t="s">
        <v>204</v>
      </c>
      <c r="AT181" s="75" t="s">
        <v>221</v>
      </c>
      <c r="AV181" s="75" t="s">
        <v>218</v>
      </c>
      <c r="AW181" s="75" t="s">
        <v>242</v>
      </c>
      <c r="AX181" s="75" t="str">
        <f t="shared" si="22"/>
        <v>LAURA SOFIA PAEZ GALLO</v>
      </c>
      <c r="BA181" s="75" t="s">
        <v>209</v>
      </c>
      <c r="BB181" s="75" t="str">
        <f t="shared" si="25"/>
        <v>ESTEFANIA SANDOVAL CRUZ</v>
      </c>
      <c r="BE181" s="75" t="s">
        <v>200</v>
      </c>
      <c r="BF181" s="75" t="s">
        <v>220</v>
      </c>
      <c r="BI181" s="75" t="s">
        <v>208</v>
      </c>
      <c r="BJ181" s="75" t="s">
        <v>235</v>
      </c>
      <c r="BL181" s="75" t="s">
        <v>198</v>
      </c>
      <c r="BM181" s="75" t="s">
        <v>557</v>
      </c>
      <c r="BP181" s="71" t="s">
        <v>391</v>
      </c>
      <c r="BQ181" s="78" t="str">
        <f t="shared" si="21"/>
        <v>COM TIC DER SST CUL</v>
      </c>
      <c r="BR181" s="78" t="str">
        <f t="shared" si="24"/>
        <v>COM TIC SST CUL</v>
      </c>
      <c r="BS181" s="78" t="str">
        <f t="shared" si="26"/>
        <v>COM SST CUL</v>
      </c>
      <c r="BT181" s="78" t="str">
        <f>VLOOKUP(A181,[2]Hoja1!$A$2:$B$123,2,FALSE)</f>
        <v>BIL</v>
      </c>
      <c r="BU181" s="71">
        <v>71</v>
      </c>
      <c r="BV181" s="71" t="s">
        <v>537</v>
      </c>
      <c r="BW181" s="81">
        <f>VLOOKUP(A181,[2]PE04!$A$7:$A$328,1,FALSE)</f>
        <v>3235976</v>
      </c>
      <c r="BX181" s="81" t="str">
        <f>IFERROR(VLOOKUP( 5,[2]PE04!A106:G433,8,FALSE), "No encontrado")</f>
        <v>No encontrado</v>
      </c>
    </row>
    <row r="182" spans="1:76" ht="13.5" customHeight="1" x14ac:dyDescent="0.25">
      <c r="A182" s="70">
        <v>3236532</v>
      </c>
      <c r="B182" s="71" t="s">
        <v>245</v>
      </c>
      <c r="C182" s="71">
        <v>51</v>
      </c>
      <c r="D182" s="72" t="s">
        <v>96</v>
      </c>
      <c r="E182" s="73" t="s">
        <v>102</v>
      </c>
      <c r="F182" s="74">
        <f t="shared" si="17"/>
        <v>46448</v>
      </c>
      <c r="G182" s="73" t="s">
        <v>121</v>
      </c>
      <c r="H182" s="73"/>
      <c r="K182" s="71" t="s">
        <v>246</v>
      </c>
      <c r="M182" s="70" t="s">
        <v>246</v>
      </c>
      <c r="O182" s="71" t="s">
        <v>223</v>
      </c>
      <c r="P182" s="72" t="s">
        <v>246</v>
      </c>
      <c r="Q182" s="71" t="s">
        <v>248</v>
      </c>
      <c r="U182" s="75"/>
      <c r="W182" s="75"/>
      <c r="Y182" s="75"/>
      <c r="AC182" s="75"/>
      <c r="AH182" s="76"/>
      <c r="AK182" s="71"/>
      <c r="AM182" s="71"/>
      <c r="AN182" s="71"/>
      <c r="AO182" s="71" t="s">
        <v>200</v>
      </c>
      <c r="AP182" s="71" t="s">
        <v>220</v>
      </c>
      <c r="AQ182" s="71"/>
      <c r="AS182" s="71" t="s">
        <v>196</v>
      </c>
      <c r="AT182" s="75" t="s">
        <v>267</v>
      </c>
      <c r="AV182" s="75" t="s">
        <v>218</v>
      </c>
      <c r="AW182" s="75" t="s">
        <v>198</v>
      </c>
      <c r="AX182" s="75" t="str">
        <f t="shared" si="22"/>
        <v>SONIA PATRICIA CASTAÑEDA CAYCEDO</v>
      </c>
      <c r="BA182" s="75" t="s">
        <v>206</v>
      </c>
      <c r="BB182" s="75" t="str">
        <f t="shared" si="25"/>
        <v>MARINELLA DIAZ ACOSTA</v>
      </c>
      <c r="BI182" s="75" t="s">
        <v>204</v>
      </c>
      <c r="BJ182" s="75" t="s">
        <v>205</v>
      </c>
      <c r="BL182" s="75" t="s">
        <v>209</v>
      </c>
      <c r="BM182" s="75" t="s">
        <v>236</v>
      </c>
      <c r="BP182" s="71" t="s">
        <v>391</v>
      </c>
      <c r="BQ182" s="78" t="str">
        <f t="shared" si="21"/>
        <v>INV FIS CUL ETI EMP DER</v>
      </c>
      <c r="BR182" s="78" t="str">
        <f t="shared" si="24"/>
        <v>INV FIS CUL EMP DER</v>
      </c>
      <c r="BS182" s="78" t="str">
        <f t="shared" si="26"/>
        <v>INV FIS CUL DER</v>
      </c>
      <c r="BT182" s="78" t="str">
        <f>VLOOKUP(A182,[2]Hoja1!$A$2:$B$123,2,FALSE)</f>
        <v>BIL</v>
      </c>
      <c r="BU182" s="71">
        <v>67</v>
      </c>
      <c r="BV182" s="71" t="s">
        <v>537</v>
      </c>
      <c r="BW182" s="81">
        <f>VLOOKUP(A182,[2]PE04!$A$7:$A$328,1,FALSE)</f>
        <v>3236532</v>
      </c>
      <c r="BX182" s="81" t="str">
        <f>IFERROR(VLOOKUP( 5,[2]PE04!A107:G434,8,FALSE), "No encontrado")</f>
        <v>No encontrado</v>
      </c>
    </row>
    <row r="183" spans="1:76" ht="13.5" customHeight="1" x14ac:dyDescent="0.25">
      <c r="A183" s="70">
        <v>3335698</v>
      </c>
      <c r="B183" s="71" t="s">
        <v>245</v>
      </c>
      <c r="C183" s="71">
        <v>42</v>
      </c>
      <c r="D183" s="72" t="s">
        <v>99</v>
      </c>
      <c r="E183" s="73" t="s">
        <v>114</v>
      </c>
      <c r="F183" s="74">
        <f t="shared" si="17"/>
        <v>46566</v>
      </c>
      <c r="G183" s="73" t="s">
        <v>122</v>
      </c>
      <c r="K183" s="82" t="s">
        <v>261</v>
      </c>
      <c r="M183" s="82" t="s">
        <v>261</v>
      </c>
      <c r="P183" s="72" t="s">
        <v>261</v>
      </c>
      <c r="Q183" s="71" t="s">
        <v>398</v>
      </c>
      <c r="BE183" s="75" t="s">
        <v>204</v>
      </c>
      <c r="BF183" s="75" t="s">
        <v>205</v>
      </c>
      <c r="BI183" s="75" t="s">
        <v>208</v>
      </c>
      <c r="BJ183" s="75" t="s">
        <v>239</v>
      </c>
      <c r="BL183" s="75" t="s">
        <v>198</v>
      </c>
      <c r="BM183" s="75" t="s">
        <v>557</v>
      </c>
      <c r="BP183" s="73" t="s">
        <v>391</v>
      </c>
      <c r="BQ183" s="78" t="str">
        <f t="shared" si="21"/>
        <v>TIC MAT COM SST EMP DER INV FIS CUL</v>
      </c>
      <c r="BR183" s="78" t="str">
        <f t="shared" si="24"/>
        <v>TIC MAT COM SST EMP INV FIS CUL</v>
      </c>
      <c r="BS183" s="78" t="str">
        <f t="shared" si="26"/>
        <v>MAT COM SST EMP INV FIS CUL</v>
      </c>
      <c r="BT183" s="78" t="e">
        <f>VLOOKUP(A183,[2]Hoja1!$A$2:$B$123,2,FALSE)</f>
        <v>#N/A</v>
      </c>
      <c r="BW183" s="81">
        <f>VLOOKUP(A183,[2]PE04!$A$7:$A$328,1,FALSE)</f>
        <v>3335698</v>
      </c>
      <c r="BX183" s="81" t="str">
        <f>IFERROR(VLOOKUP( 5,[2]PE04!A108:G435,8,FALSE), "No encontrado")</f>
        <v>No encontrado</v>
      </c>
    </row>
    <row r="184" spans="1:76" ht="13.5" customHeight="1" x14ac:dyDescent="0.25">
      <c r="A184" s="70">
        <v>3335699</v>
      </c>
      <c r="B184" s="71" t="s">
        <v>245</v>
      </c>
      <c r="C184" s="71">
        <v>52</v>
      </c>
      <c r="D184" s="72" t="s">
        <v>99</v>
      </c>
      <c r="E184" s="73" t="s">
        <v>114</v>
      </c>
      <c r="F184" s="74">
        <f t="shared" si="17"/>
        <v>46566</v>
      </c>
      <c r="G184" s="73" t="s">
        <v>122</v>
      </c>
      <c r="K184" s="82" t="s">
        <v>261</v>
      </c>
      <c r="M184" s="82" t="s">
        <v>261</v>
      </c>
      <c r="P184" s="72" t="s">
        <v>261</v>
      </c>
      <c r="Q184" s="71" t="s">
        <v>398</v>
      </c>
      <c r="BE184" s="75" t="s">
        <v>204</v>
      </c>
      <c r="BF184" s="75" t="s">
        <v>221</v>
      </c>
      <c r="BI184" s="75" t="s">
        <v>208</v>
      </c>
      <c r="BJ184" s="75" t="s">
        <v>239</v>
      </c>
      <c r="BL184" s="75" t="s">
        <v>198</v>
      </c>
      <c r="BM184" s="75" t="s">
        <v>557</v>
      </c>
      <c r="BP184" s="73" t="s">
        <v>399</v>
      </c>
      <c r="BQ184" s="78" t="str">
        <f t="shared" si="21"/>
        <v>TIC MAT COM SST EMP DER INV FIS CUL</v>
      </c>
      <c r="BR184" s="78" t="str">
        <f t="shared" si="24"/>
        <v>TIC MAT COM SST EMP INV FIS CUL</v>
      </c>
      <c r="BS184" s="78" t="str">
        <f t="shared" si="26"/>
        <v>MAT COM SST EMP INV FIS CUL</v>
      </c>
      <c r="BT184" s="78" t="e">
        <f>VLOOKUP(A184,[2]Hoja1!$A$2:$B$123,2,FALSE)</f>
        <v>#N/A</v>
      </c>
      <c r="BW184" s="81">
        <f>VLOOKUP(A184,[2]PE04!$A$7:$A$328,1,FALSE)</f>
        <v>3335699</v>
      </c>
      <c r="BX184" s="81" t="str">
        <f>IFERROR(VLOOKUP( 5,[2]PE04!A109:G436,8,FALSE), "No encontrado")</f>
        <v>No encontrado</v>
      </c>
    </row>
    <row r="185" spans="1:76" ht="13.5" customHeight="1" x14ac:dyDescent="0.25">
      <c r="A185" s="70">
        <v>3335833</v>
      </c>
      <c r="B185" s="71" t="s">
        <v>245</v>
      </c>
      <c r="C185" s="71">
        <v>50</v>
      </c>
      <c r="D185" s="72" t="s">
        <v>123</v>
      </c>
      <c r="E185" s="73" t="s">
        <v>114</v>
      </c>
      <c r="F185" s="74">
        <f t="shared" si="17"/>
        <v>46566</v>
      </c>
      <c r="G185" s="73" t="s">
        <v>122</v>
      </c>
      <c r="K185" s="80" t="s">
        <v>400</v>
      </c>
      <c r="M185" s="80" t="s">
        <v>400</v>
      </c>
      <c r="P185" s="72" t="s">
        <v>400</v>
      </c>
      <c r="Q185" s="71" t="s">
        <v>401</v>
      </c>
      <c r="BE185" s="75" t="s">
        <v>198</v>
      </c>
      <c r="BF185" s="75" t="s">
        <v>253</v>
      </c>
      <c r="BI185" s="75" t="s">
        <v>208</v>
      </c>
      <c r="BJ185" s="75" t="s">
        <v>239</v>
      </c>
      <c r="BL185" s="75" t="s">
        <v>204</v>
      </c>
      <c r="BM185" s="75" t="s">
        <v>217</v>
      </c>
      <c r="BP185" s="73" t="s">
        <v>391</v>
      </c>
      <c r="BQ185" s="78" t="str">
        <f t="shared" si="21"/>
        <v>COM MAT ETI DER CUL EMP INV SST</v>
      </c>
      <c r="BR185" s="78" t="str">
        <f t="shared" si="24"/>
        <v>COM MAT ETI CUL EMP INV SST</v>
      </c>
      <c r="BS185" s="78" t="str">
        <f t="shared" si="26"/>
        <v>COM MAT CUL EMP INV SST</v>
      </c>
      <c r="BT185" s="78" t="e">
        <f>VLOOKUP(A185,[2]Hoja1!$A$2:$B$123,2,FALSE)</f>
        <v>#N/A</v>
      </c>
      <c r="BW185" s="81">
        <f>VLOOKUP(A185,[2]PE04!$A$7:$A$328,1,FALSE)</f>
        <v>3335833</v>
      </c>
      <c r="BX185" s="81" t="str">
        <f>IFERROR(VLOOKUP( 5,[2]PE04!A110:G437,8,FALSE), "No encontrado")</f>
        <v>No encontrado</v>
      </c>
    </row>
    <row r="186" spans="1:76" ht="13.5" customHeight="1" x14ac:dyDescent="0.25">
      <c r="A186" s="70">
        <v>3335834</v>
      </c>
      <c r="B186" s="71" t="s">
        <v>245</v>
      </c>
      <c r="C186" s="71">
        <v>42</v>
      </c>
      <c r="D186" s="72" t="s">
        <v>123</v>
      </c>
      <c r="E186" s="73" t="s">
        <v>114</v>
      </c>
      <c r="F186" s="74">
        <f t="shared" ref="F186:F249" si="27">IF(
OR(((ROUND((G186-E186)/30,0))=27),((ROUND((G186-E186)/30,0))=15)),
EDATE(G186,-6),
IF(
(ROUND((G186-E186)/30,0))=12,
EDATE(G186,-3),
IF(
(ROUND((G186-E186)/30,0))=9,
EDATE(G186,0),"CALCULAR")))</f>
        <v>46566</v>
      </c>
      <c r="G186" s="73" t="s">
        <v>122</v>
      </c>
      <c r="K186" s="83" t="s">
        <v>402</v>
      </c>
      <c r="M186" s="83" t="s">
        <v>402</v>
      </c>
      <c r="P186" s="72" t="s">
        <v>402</v>
      </c>
      <c r="Q186" s="71" t="s">
        <v>401</v>
      </c>
      <c r="BE186" s="75" t="s">
        <v>198</v>
      </c>
      <c r="BF186" s="75" t="s">
        <v>253</v>
      </c>
      <c r="BI186" s="75" t="s">
        <v>204</v>
      </c>
      <c r="BJ186" s="75" t="s">
        <v>221</v>
      </c>
      <c r="BL186" s="75" t="s">
        <v>208</v>
      </c>
      <c r="BM186" s="75" t="s">
        <v>235</v>
      </c>
      <c r="BP186" s="73" t="s">
        <v>391</v>
      </c>
      <c r="BQ186" s="78" t="str">
        <f t="shared" si="21"/>
        <v>COM MAT ETI DER CUL EMP INV SST</v>
      </c>
      <c r="BR186" s="78" t="str">
        <f t="shared" si="24"/>
        <v>COM MAT DER CUL EMP INV SST</v>
      </c>
      <c r="BS186" s="78" t="str">
        <f t="shared" si="26"/>
        <v>COM MAT CUL EMP INV SST</v>
      </c>
      <c r="BT186" s="78" t="e">
        <f>VLOOKUP(A186,[2]Hoja1!$A$2:$B$123,2,FALSE)</f>
        <v>#N/A</v>
      </c>
      <c r="BW186" s="81">
        <f>VLOOKUP(A186,[2]PE04!$A$7:$A$328,1,FALSE)</f>
        <v>3335834</v>
      </c>
      <c r="BX186" s="81" t="str">
        <f>IFERROR(VLOOKUP( 5,[2]PE04!A111:G438,8,FALSE), "No encontrado")</f>
        <v>No encontrado</v>
      </c>
    </row>
    <row r="187" spans="1:76" ht="13.5" customHeight="1" x14ac:dyDescent="0.25">
      <c r="A187" s="70">
        <v>3335835</v>
      </c>
      <c r="B187" s="71" t="s">
        <v>245</v>
      </c>
      <c r="C187" s="71">
        <v>46</v>
      </c>
      <c r="D187" s="72" t="s">
        <v>123</v>
      </c>
      <c r="E187" s="73" t="s">
        <v>114</v>
      </c>
      <c r="F187" s="74">
        <f t="shared" si="27"/>
        <v>46566</v>
      </c>
      <c r="G187" s="73" t="s">
        <v>122</v>
      </c>
      <c r="K187" s="83" t="s">
        <v>229</v>
      </c>
      <c r="M187" s="83" t="s">
        <v>229</v>
      </c>
      <c r="P187" s="72" t="s">
        <v>572</v>
      </c>
      <c r="Q187" s="71" t="s">
        <v>401</v>
      </c>
      <c r="BE187" s="75" t="s">
        <v>198</v>
      </c>
      <c r="BF187" s="75" t="s">
        <v>253</v>
      </c>
      <c r="BI187" s="75" t="s">
        <v>204</v>
      </c>
      <c r="BJ187" s="75" t="s">
        <v>221</v>
      </c>
      <c r="BL187" s="75" t="s">
        <v>208</v>
      </c>
      <c r="BM187" s="75" t="s">
        <v>235</v>
      </c>
      <c r="BP187" s="73" t="s">
        <v>391</v>
      </c>
      <c r="BQ187" s="78" t="str">
        <f t="shared" si="21"/>
        <v>COM MAT ETI DER CUL EMP INV SST</v>
      </c>
      <c r="BR187" s="78" t="str">
        <f t="shared" si="24"/>
        <v>COM MAT DER CUL EMP INV SST</v>
      </c>
      <c r="BS187" s="78" t="str">
        <f t="shared" si="26"/>
        <v>COM MAT CUL EMP INV SST</v>
      </c>
      <c r="BT187" s="78" t="e">
        <f>VLOOKUP(A187,[2]Hoja1!$A$2:$B$123,2,FALSE)</f>
        <v>#N/A</v>
      </c>
      <c r="BW187" s="81">
        <f>VLOOKUP(A187,[2]PE04!$A$7:$A$328,1,FALSE)</f>
        <v>3335835</v>
      </c>
      <c r="BX187" s="81" t="str">
        <f>IFERROR(VLOOKUP( 5,[2]PE04!A112:G439,8,FALSE), "No encontrado")</f>
        <v>No encontrado</v>
      </c>
    </row>
    <row r="188" spans="1:76" ht="13.5" customHeight="1" x14ac:dyDescent="0.25">
      <c r="A188" s="70">
        <v>3335836</v>
      </c>
      <c r="B188" s="71" t="s">
        <v>245</v>
      </c>
      <c r="C188" s="71">
        <v>45</v>
      </c>
      <c r="D188" s="72" t="s">
        <v>123</v>
      </c>
      <c r="E188" s="73" t="s">
        <v>114</v>
      </c>
      <c r="F188" s="74">
        <f t="shared" si="27"/>
        <v>46566</v>
      </c>
      <c r="G188" s="73" t="s">
        <v>122</v>
      </c>
      <c r="K188" s="79" t="s">
        <v>232</v>
      </c>
      <c r="M188" s="79" t="s">
        <v>232</v>
      </c>
      <c r="P188" s="72" t="s">
        <v>568</v>
      </c>
      <c r="Q188" s="71" t="s">
        <v>401</v>
      </c>
      <c r="BE188" s="75" t="s">
        <v>198</v>
      </c>
      <c r="BF188" s="75" t="s">
        <v>253</v>
      </c>
      <c r="BI188" s="75" t="s">
        <v>204</v>
      </c>
      <c r="BJ188" s="75" t="s">
        <v>221</v>
      </c>
      <c r="BL188" s="116" t="s">
        <v>196</v>
      </c>
      <c r="BM188" s="117" t="s">
        <v>539</v>
      </c>
      <c r="BP188" s="73" t="s">
        <v>391</v>
      </c>
      <c r="BQ188" s="78" t="str">
        <f t="shared" si="21"/>
        <v>COM MAT ETI DER CUL EMP INV SST</v>
      </c>
      <c r="BR188" s="78" t="str">
        <f t="shared" si="24"/>
        <v>COM MAT DER CUL EMP INV SST</v>
      </c>
      <c r="BS188" s="78" t="str">
        <f t="shared" si="26"/>
        <v>MAT DER CUL EMP INV SST</v>
      </c>
      <c r="BT188" s="78" t="e">
        <f>VLOOKUP(A188,[2]Hoja1!$A$2:$B$123,2,FALSE)</f>
        <v>#N/A</v>
      </c>
      <c r="BW188" s="81">
        <f>VLOOKUP(A188,[2]PE04!$A$7:$A$328,1,FALSE)</f>
        <v>3335836</v>
      </c>
      <c r="BX188" s="81" t="str">
        <f>IFERROR(VLOOKUP( 5,[2]PE04!A113:G440,8,FALSE), "No encontrado")</f>
        <v>No encontrado</v>
      </c>
    </row>
    <row r="189" spans="1:76" ht="13.5" customHeight="1" x14ac:dyDescent="0.25">
      <c r="A189" s="70">
        <v>3335837</v>
      </c>
      <c r="B189" s="71" t="s">
        <v>245</v>
      </c>
      <c r="C189" s="71">
        <v>43</v>
      </c>
      <c r="D189" s="72" t="s">
        <v>123</v>
      </c>
      <c r="E189" s="73" t="s">
        <v>114</v>
      </c>
      <c r="F189" s="74">
        <f t="shared" si="27"/>
        <v>46566</v>
      </c>
      <c r="G189" s="73" t="s">
        <v>122</v>
      </c>
      <c r="K189" s="80" t="s">
        <v>400</v>
      </c>
      <c r="M189" s="80" t="s">
        <v>400</v>
      </c>
      <c r="P189" s="72" t="s">
        <v>400</v>
      </c>
      <c r="Q189" s="71" t="s">
        <v>401</v>
      </c>
      <c r="BE189" s="75" t="s">
        <v>198</v>
      </c>
      <c r="BF189" s="75" t="s">
        <v>253</v>
      </c>
      <c r="BI189" s="75" t="s">
        <v>204</v>
      </c>
      <c r="BJ189" s="75" t="s">
        <v>221</v>
      </c>
      <c r="BL189" s="75" t="s">
        <v>208</v>
      </c>
      <c r="BM189" s="75" t="s">
        <v>239</v>
      </c>
      <c r="BP189" s="73" t="s">
        <v>391</v>
      </c>
      <c r="BQ189" s="78" t="str">
        <f t="shared" si="21"/>
        <v>COM MAT ETI DER CUL EMP INV SST</v>
      </c>
      <c r="BR189" s="78" t="str">
        <f t="shared" si="24"/>
        <v>COM MAT DER CUL EMP INV SST</v>
      </c>
      <c r="BS189" s="78" t="str">
        <f t="shared" si="26"/>
        <v>COM MAT CUL EMP INV SST</v>
      </c>
      <c r="BT189" s="78" t="e">
        <f>VLOOKUP(A189,[2]Hoja1!$A$2:$B$123,2,FALSE)</f>
        <v>#N/A</v>
      </c>
      <c r="BW189" s="81">
        <f>VLOOKUP(A189,[2]PE04!$A$7:$A$328,1,FALSE)</f>
        <v>3335837</v>
      </c>
      <c r="BX189" s="81" t="str">
        <f>IFERROR(VLOOKUP( 5,[2]PE04!A114:G441,8,FALSE), "No encontrado")</f>
        <v>No encontrado</v>
      </c>
    </row>
    <row r="190" spans="1:76" ht="13.5" customHeight="1" x14ac:dyDescent="0.25">
      <c r="A190" s="70">
        <v>3335838</v>
      </c>
      <c r="B190" s="71" t="s">
        <v>245</v>
      </c>
      <c r="C190" s="71">
        <v>53</v>
      </c>
      <c r="D190" s="72" t="s">
        <v>123</v>
      </c>
      <c r="E190" s="73" t="s">
        <v>114</v>
      </c>
      <c r="F190" s="74">
        <f t="shared" si="27"/>
        <v>46566</v>
      </c>
      <c r="G190" s="73" t="s">
        <v>122</v>
      </c>
      <c r="K190" s="83" t="s">
        <v>229</v>
      </c>
      <c r="M190" s="83" t="s">
        <v>229</v>
      </c>
      <c r="P190" s="72" t="s">
        <v>229</v>
      </c>
      <c r="Q190" s="71" t="s">
        <v>401</v>
      </c>
      <c r="BE190" s="75" t="s">
        <v>198</v>
      </c>
      <c r="BF190" s="75" t="s">
        <v>253</v>
      </c>
      <c r="BI190" s="75" t="s">
        <v>204</v>
      </c>
      <c r="BJ190" s="75" t="s">
        <v>205</v>
      </c>
      <c r="BL190" s="75" t="s">
        <v>208</v>
      </c>
      <c r="BM190" s="75" t="s">
        <v>239</v>
      </c>
      <c r="BP190" s="73" t="s">
        <v>391</v>
      </c>
      <c r="BQ190" s="78" t="str">
        <f t="shared" si="21"/>
        <v>COM MAT ETI DER CUL EMP INV SST</v>
      </c>
      <c r="BR190" s="78" t="str">
        <f t="shared" si="24"/>
        <v>COM MAT DER CUL EMP INV SST</v>
      </c>
      <c r="BS190" s="78" t="str">
        <f t="shared" si="26"/>
        <v>COM MAT CUL EMP INV SST</v>
      </c>
      <c r="BT190" s="78" t="e">
        <f>VLOOKUP(A190,[2]Hoja1!$A$2:$B$123,2,FALSE)</f>
        <v>#N/A</v>
      </c>
      <c r="BW190" s="81">
        <f>VLOOKUP(A190,[2]PE04!$A$7:$A$328,1,FALSE)</f>
        <v>3335838</v>
      </c>
      <c r="BX190" s="81" t="str">
        <f>IFERROR(VLOOKUP( 5,[2]PE04!A115:G442,8,FALSE), "No encontrado")</f>
        <v>No encontrado</v>
      </c>
    </row>
    <row r="191" spans="1:76" ht="13.5" customHeight="1" x14ac:dyDescent="0.25">
      <c r="A191" s="70">
        <v>3335839</v>
      </c>
      <c r="B191" s="71" t="s">
        <v>245</v>
      </c>
      <c r="C191" s="71">
        <v>45</v>
      </c>
      <c r="D191" s="72" t="s">
        <v>123</v>
      </c>
      <c r="E191" s="73" t="s">
        <v>114</v>
      </c>
      <c r="F191" s="74">
        <f t="shared" si="27"/>
        <v>46566</v>
      </c>
      <c r="G191" s="73" t="s">
        <v>122</v>
      </c>
      <c r="K191" s="79" t="s">
        <v>232</v>
      </c>
      <c r="M191" s="79" t="s">
        <v>232</v>
      </c>
      <c r="P191" s="72" t="s">
        <v>568</v>
      </c>
      <c r="Q191" s="71" t="s">
        <v>401</v>
      </c>
      <c r="BE191" s="75" t="s">
        <v>198</v>
      </c>
      <c r="BF191" s="75" t="s">
        <v>225</v>
      </c>
      <c r="BI191" s="75" t="s">
        <v>204</v>
      </c>
      <c r="BJ191" s="75" t="s">
        <v>205</v>
      </c>
      <c r="BL191" s="116" t="s">
        <v>196</v>
      </c>
      <c r="BM191" s="75" t="s">
        <v>539</v>
      </c>
      <c r="BP191" s="73" t="s">
        <v>391</v>
      </c>
      <c r="BQ191" s="78" t="str">
        <f t="shared" si="21"/>
        <v>COM MAT ETI DER CUL EMP INV SST</v>
      </c>
      <c r="BR191" s="78" t="str">
        <f t="shared" si="24"/>
        <v>COM MAT DER CUL EMP INV SST</v>
      </c>
      <c r="BS191" s="78" t="str">
        <f t="shared" si="26"/>
        <v>MAT DER CUL EMP INV SST</v>
      </c>
      <c r="BT191" s="78" t="e">
        <f>VLOOKUP(A191,[2]Hoja1!$A$2:$B$123,2,FALSE)</f>
        <v>#N/A</v>
      </c>
      <c r="BW191" s="81">
        <f>VLOOKUP(A191,[2]PE04!$A$7:$A$328,1,FALSE)</f>
        <v>3335839</v>
      </c>
      <c r="BX191" s="81" t="str">
        <f>IFERROR(VLOOKUP( 5,[2]PE04!A116:G443,8,FALSE), "No encontrado")</f>
        <v>No encontrado</v>
      </c>
    </row>
    <row r="192" spans="1:76" ht="13.5" customHeight="1" x14ac:dyDescent="0.25">
      <c r="A192" s="70">
        <v>3335840</v>
      </c>
      <c r="B192" s="71" t="s">
        <v>245</v>
      </c>
      <c r="C192" s="71">
        <v>49</v>
      </c>
      <c r="D192" s="72" t="s">
        <v>123</v>
      </c>
      <c r="E192" s="73" t="s">
        <v>114</v>
      </c>
      <c r="F192" s="74">
        <f t="shared" si="27"/>
        <v>46566</v>
      </c>
      <c r="G192" s="73" t="s">
        <v>122</v>
      </c>
      <c r="K192" s="79" t="s">
        <v>232</v>
      </c>
      <c r="M192" s="79" t="s">
        <v>232</v>
      </c>
      <c r="P192" s="72" t="s">
        <v>232</v>
      </c>
      <c r="Q192" s="71" t="s">
        <v>401</v>
      </c>
      <c r="BE192" s="75" t="s">
        <v>198</v>
      </c>
      <c r="BF192" s="75" t="s">
        <v>225</v>
      </c>
      <c r="BI192" s="75" t="s">
        <v>200</v>
      </c>
      <c r="BJ192" s="75" t="s">
        <v>201</v>
      </c>
      <c r="BL192" s="75" t="s">
        <v>204</v>
      </c>
      <c r="BM192" s="75" t="s">
        <v>217</v>
      </c>
      <c r="BP192" s="73" t="s">
        <v>391</v>
      </c>
      <c r="BQ192" s="78" t="str">
        <f t="shared" si="21"/>
        <v>COM MAT ETI DER CUL EMP INV SST</v>
      </c>
      <c r="BR192" s="78" t="str">
        <f t="shared" si="24"/>
        <v>COM ETI DER CUL EMP INV SST</v>
      </c>
      <c r="BS192" s="78" t="str">
        <f t="shared" si="26"/>
        <v>COM DER CUL EMP INV SST</v>
      </c>
      <c r="BT192" s="78" t="e">
        <f>VLOOKUP(A192,[2]Hoja1!$A$2:$B$123,2,FALSE)</f>
        <v>#N/A</v>
      </c>
      <c r="BW192" s="81">
        <f>VLOOKUP(A192,[2]PE04!$A$7:$A$328,1,FALSE)</f>
        <v>3335840</v>
      </c>
      <c r="BX192" s="81" t="str">
        <f>IFERROR(VLOOKUP( 5,[2]PE04!A117:G444,8,FALSE), "No encontrado")</f>
        <v>No encontrado</v>
      </c>
    </row>
    <row r="193" spans="1:76" ht="13.5" customHeight="1" x14ac:dyDescent="0.25">
      <c r="A193" s="70">
        <v>3335841</v>
      </c>
      <c r="B193" s="71" t="s">
        <v>245</v>
      </c>
      <c r="C193" s="71">
        <v>45</v>
      </c>
      <c r="D193" s="72" t="s">
        <v>123</v>
      </c>
      <c r="E193" s="73" t="s">
        <v>114</v>
      </c>
      <c r="F193" s="74">
        <f t="shared" si="27"/>
        <v>46566</v>
      </c>
      <c r="G193" s="73" t="s">
        <v>122</v>
      </c>
      <c r="K193" s="80" t="s">
        <v>400</v>
      </c>
      <c r="M193" s="80" t="s">
        <v>400</v>
      </c>
      <c r="P193" s="72" t="s">
        <v>400</v>
      </c>
      <c r="Q193" s="71" t="s">
        <v>401</v>
      </c>
      <c r="BE193" s="75" t="s">
        <v>198</v>
      </c>
      <c r="BF193" s="75" t="s">
        <v>225</v>
      </c>
      <c r="BI193" s="75" t="s">
        <v>200</v>
      </c>
      <c r="BJ193" s="75" t="s">
        <v>201</v>
      </c>
      <c r="BL193" s="75" t="s">
        <v>204</v>
      </c>
      <c r="BM193" s="75" t="s">
        <v>217</v>
      </c>
      <c r="BP193" s="73" t="s">
        <v>391</v>
      </c>
      <c r="BQ193" s="78" t="str">
        <f t="shared" si="21"/>
        <v>COM MAT ETI DER CUL EMP INV SST</v>
      </c>
      <c r="BR193" s="78" t="str">
        <f t="shared" si="24"/>
        <v>COM ETI DER CUL EMP INV SST</v>
      </c>
      <c r="BS193" s="78" t="str">
        <f t="shared" si="26"/>
        <v>COM DER CUL EMP INV SST</v>
      </c>
      <c r="BT193" s="78" t="e">
        <f>VLOOKUP(A193,[2]Hoja1!$A$2:$B$123,2,FALSE)</f>
        <v>#N/A</v>
      </c>
      <c r="BW193" s="81">
        <f>VLOOKUP(A193,[2]PE04!$A$7:$A$328,1,FALSE)</f>
        <v>3335841</v>
      </c>
      <c r="BX193" s="81" t="str">
        <f>IFERROR(VLOOKUP( 5,[2]PE04!A118:G445,8,FALSE), "No encontrado")</f>
        <v>No encontrado</v>
      </c>
    </row>
    <row r="194" spans="1:76" ht="13.5" customHeight="1" x14ac:dyDescent="0.25">
      <c r="A194" s="70">
        <v>3335842</v>
      </c>
      <c r="B194" s="71" t="s">
        <v>245</v>
      </c>
      <c r="C194" s="71">
        <v>50</v>
      </c>
      <c r="D194" s="72" t="s">
        <v>123</v>
      </c>
      <c r="E194" s="73" t="s">
        <v>114</v>
      </c>
      <c r="F194" s="74">
        <f t="shared" si="27"/>
        <v>46566</v>
      </c>
      <c r="G194" s="73" t="s">
        <v>122</v>
      </c>
      <c r="K194" s="83" t="s">
        <v>229</v>
      </c>
      <c r="M194" s="83" t="s">
        <v>229</v>
      </c>
      <c r="P194" s="72" t="s">
        <v>572</v>
      </c>
      <c r="Q194" s="71" t="s">
        <v>401</v>
      </c>
      <c r="BE194" s="75" t="s">
        <v>198</v>
      </c>
      <c r="BF194" s="75" t="s">
        <v>225</v>
      </c>
      <c r="BI194" s="75" t="s">
        <v>200</v>
      </c>
      <c r="BJ194" s="75" t="s">
        <v>201</v>
      </c>
      <c r="BL194" s="75" t="s">
        <v>204</v>
      </c>
      <c r="BM194" s="75" t="s">
        <v>217</v>
      </c>
      <c r="BP194" s="73" t="s">
        <v>391</v>
      </c>
      <c r="BQ194" s="78" t="str">
        <f t="shared" si="21"/>
        <v>COM MAT ETI DER CUL EMP INV SST</v>
      </c>
      <c r="BR194" s="78" t="str">
        <f t="shared" si="24"/>
        <v>COM ETI DER CUL EMP INV SST</v>
      </c>
      <c r="BS194" s="78" t="str">
        <f t="shared" si="26"/>
        <v>COM DER CUL EMP INV SST</v>
      </c>
      <c r="BT194" s="78" t="e">
        <f>VLOOKUP(A194,[2]Hoja1!$A$2:$B$123,2,FALSE)</f>
        <v>#N/A</v>
      </c>
      <c r="BW194" s="81">
        <f>VLOOKUP(A194,[2]PE04!$A$7:$A$328,1,FALSE)</f>
        <v>3335842</v>
      </c>
      <c r="BX194" s="81" t="str">
        <f>IFERROR(VLOOKUP( 5,[2]PE04!A119:G446,8,FALSE), "No encontrado")</f>
        <v>No encontrado</v>
      </c>
    </row>
    <row r="195" spans="1:76" ht="13.5" customHeight="1" x14ac:dyDescent="0.25">
      <c r="A195" s="70">
        <v>3335843</v>
      </c>
      <c r="B195" s="71" t="s">
        <v>245</v>
      </c>
      <c r="C195" s="71">
        <v>49</v>
      </c>
      <c r="D195" s="72" t="s">
        <v>123</v>
      </c>
      <c r="E195" s="73" t="s">
        <v>114</v>
      </c>
      <c r="F195" s="74">
        <f t="shared" si="27"/>
        <v>46566</v>
      </c>
      <c r="G195" s="73" t="s">
        <v>122</v>
      </c>
      <c r="K195" s="79" t="s">
        <v>232</v>
      </c>
      <c r="M195" s="79" t="s">
        <v>232</v>
      </c>
      <c r="P195" s="72" t="s">
        <v>232</v>
      </c>
      <c r="Q195" s="71" t="s">
        <v>401</v>
      </c>
      <c r="BE195" s="75" t="s">
        <v>198</v>
      </c>
      <c r="BF195" s="75" t="s">
        <v>225</v>
      </c>
      <c r="BI195" s="75" t="s">
        <v>200</v>
      </c>
      <c r="BJ195" s="75" t="s">
        <v>201</v>
      </c>
      <c r="BL195" s="75" t="s">
        <v>208</v>
      </c>
      <c r="BM195" s="75" t="s">
        <v>239</v>
      </c>
      <c r="BP195" s="73" t="s">
        <v>391</v>
      </c>
      <c r="BQ195" s="78" t="str">
        <f t="shared" si="21"/>
        <v>COM MAT ETI DER CUL EMP INV SST</v>
      </c>
      <c r="BR195" s="78" t="str">
        <f t="shared" si="24"/>
        <v>COM ETI DER CUL EMP INV SST</v>
      </c>
      <c r="BS195" s="78" t="str">
        <f t="shared" si="26"/>
        <v>COM ETI CUL EMP INV SST</v>
      </c>
      <c r="BT195" s="78" t="e">
        <f>VLOOKUP(A195,[2]Hoja1!$A$2:$B$123,2,FALSE)</f>
        <v>#N/A</v>
      </c>
      <c r="BW195" s="81">
        <f>VLOOKUP(A195,[2]PE04!$A$7:$A$328,1,FALSE)</f>
        <v>3335843</v>
      </c>
      <c r="BX195" s="81" t="str">
        <f>IFERROR(VLOOKUP( 5,[2]PE04!A120:G447,8,FALSE), "No encontrado")</f>
        <v>No encontrado</v>
      </c>
    </row>
    <row r="196" spans="1:76" ht="13.5" customHeight="1" x14ac:dyDescent="0.25">
      <c r="A196" s="70">
        <v>3335844</v>
      </c>
      <c r="B196" s="71" t="s">
        <v>245</v>
      </c>
      <c r="C196" s="71">
        <v>45</v>
      </c>
      <c r="D196" s="72" t="s">
        <v>123</v>
      </c>
      <c r="E196" s="73" t="s">
        <v>114</v>
      </c>
      <c r="F196" s="74">
        <f t="shared" si="27"/>
        <v>46566</v>
      </c>
      <c r="G196" s="73" t="s">
        <v>122</v>
      </c>
      <c r="K196" s="83" t="s">
        <v>402</v>
      </c>
      <c r="M196" s="83" t="s">
        <v>402</v>
      </c>
      <c r="P196" s="72" t="s">
        <v>402</v>
      </c>
      <c r="Q196" s="71" t="s">
        <v>401</v>
      </c>
      <c r="BE196" s="75" t="s">
        <v>198</v>
      </c>
      <c r="BF196" s="75" t="s">
        <v>225</v>
      </c>
      <c r="BI196" s="75" t="s">
        <v>200</v>
      </c>
      <c r="BJ196" s="75" t="s">
        <v>201</v>
      </c>
      <c r="BL196" s="75" t="s">
        <v>208</v>
      </c>
      <c r="BM196" s="75" t="s">
        <v>239</v>
      </c>
      <c r="BP196" s="73" t="s">
        <v>391</v>
      </c>
      <c r="BQ196" s="78" t="str">
        <f t="shared" si="21"/>
        <v>COM MAT ETI DER CUL EMP INV SST</v>
      </c>
      <c r="BR196" s="78" t="str">
        <f t="shared" si="24"/>
        <v>COM ETI DER CUL EMP INV SST</v>
      </c>
      <c r="BS196" s="78" t="str">
        <f t="shared" si="26"/>
        <v>COM ETI CUL EMP INV SST</v>
      </c>
      <c r="BT196" s="78" t="e">
        <f>VLOOKUP(A196,[2]Hoja1!$A$2:$B$123,2,FALSE)</f>
        <v>#N/A</v>
      </c>
      <c r="BW196" s="81">
        <f>VLOOKUP(A196,[2]PE04!$A$7:$A$328,1,FALSE)</f>
        <v>3335844</v>
      </c>
      <c r="BX196" s="81" t="str">
        <f>IFERROR(VLOOKUP( 5,[2]PE04!A121:G448,8,FALSE), "No encontrado")</f>
        <v>No encontrado</v>
      </c>
    </row>
    <row r="197" spans="1:76" ht="13.5" customHeight="1" x14ac:dyDescent="0.25">
      <c r="A197" s="70">
        <v>3335845</v>
      </c>
      <c r="B197" s="71" t="s">
        <v>245</v>
      </c>
      <c r="C197" s="71">
        <v>45</v>
      </c>
      <c r="D197" s="72" t="s">
        <v>123</v>
      </c>
      <c r="E197" s="73" t="s">
        <v>114</v>
      </c>
      <c r="F197" s="74">
        <f t="shared" si="27"/>
        <v>46566</v>
      </c>
      <c r="G197" s="73" t="s">
        <v>122</v>
      </c>
      <c r="K197" s="83" t="s">
        <v>402</v>
      </c>
      <c r="M197" s="83" t="s">
        <v>402</v>
      </c>
      <c r="P197" s="72" t="s">
        <v>402</v>
      </c>
      <c r="Q197" s="71" t="s">
        <v>401</v>
      </c>
      <c r="BE197" s="75" t="s">
        <v>198</v>
      </c>
      <c r="BF197" s="75" t="s">
        <v>199</v>
      </c>
      <c r="BI197" s="75" t="s">
        <v>200</v>
      </c>
      <c r="BJ197" s="75" t="s">
        <v>201</v>
      </c>
      <c r="BL197" s="75" t="s">
        <v>208</v>
      </c>
      <c r="BM197" s="75" t="s">
        <v>239</v>
      </c>
      <c r="BP197" s="73" t="s">
        <v>391</v>
      </c>
      <c r="BQ197" s="78" t="str">
        <f t="shared" si="21"/>
        <v>COM MAT ETI DER CUL EMP INV SST</v>
      </c>
      <c r="BR197" s="78" t="str">
        <f t="shared" si="24"/>
        <v>COM ETI DER CUL EMP INV SST</v>
      </c>
      <c r="BS197" s="78" t="str">
        <f t="shared" si="26"/>
        <v>COM ETI CUL EMP INV SST</v>
      </c>
      <c r="BT197" s="78" t="e">
        <f>VLOOKUP(A197,[2]Hoja1!$A$2:$B$123,2,FALSE)</f>
        <v>#N/A</v>
      </c>
      <c r="BW197" s="81">
        <f>VLOOKUP(A197,[2]PE04!$A$7:$A$328,1,FALSE)</f>
        <v>3335845</v>
      </c>
      <c r="BX197" s="81" t="str">
        <f>IFERROR(VLOOKUP( 5,[2]PE04!A122:G449,8,FALSE), "No encontrado")</f>
        <v>No encontrado</v>
      </c>
    </row>
    <row r="198" spans="1:76" ht="13.5" customHeight="1" x14ac:dyDescent="0.25">
      <c r="A198" s="70">
        <v>3335846</v>
      </c>
      <c r="B198" s="71" t="s">
        <v>245</v>
      </c>
      <c r="C198" s="71">
        <v>42</v>
      </c>
      <c r="D198" s="72" t="s">
        <v>123</v>
      </c>
      <c r="E198" s="73" t="s">
        <v>114</v>
      </c>
      <c r="F198" s="74">
        <f t="shared" si="27"/>
        <v>46566</v>
      </c>
      <c r="G198" s="73" t="s">
        <v>122</v>
      </c>
      <c r="K198" s="83" t="s">
        <v>402</v>
      </c>
      <c r="M198" s="83" t="s">
        <v>402</v>
      </c>
      <c r="P198" s="72" t="s">
        <v>402</v>
      </c>
      <c r="Q198" s="71" t="s">
        <v>401</v>
      </c>
      <c r="BE198" s="75" t="s">
        <v>198</v>
      </c>
      <c r="BF198" s="75" t="s">
        <v>199</v>
      </c>
      <c r="BI198" s="75" t="s">
        <v>204</v>
      </c>
      <c r="BJ198" s="75" t="s">
        <v>217</v>
      </c>
      <c r="BL198" s="75" t="s">
        <v>200</v>
      </c>
      <c r="BM198" s="75" t="s">
        <v>214</v>
      </c>
      <c r="BP198" s="73" t="s">
        <v>391</v>
      </c>
      <c r="BQ198" s="78" t="str">
        <f t="shared" si="21"/>
        <v>COM MAT ETI DER CUL EMP INV SST</v>
      </c>
      <c r="BR198" s="78" t="str">
        <f t="shared" si="24"/>
        <v>COM MAT DER CUL EMP INV SST</v>
      </c>
      <c r="BS198" s="78" t="str">
        <f t="shared" si="26"/>
        <v>COM DER CUL EMP INV SST</v>
      </c>
      <c r="BT198" s="78" t="e">
        <f>VLOOKUP(A198,[2]Hoja1!$A$2:$B$123,2,FALSE)</f>
        <v>#N/A</v>
      </c>
      <c r="BW198" s="81">
        <f>VLOOKUP(A198,[2]PE04!$A$7:$A$328,1,FALSE)</f>
        <v>3335846</v>
      </c>
      <c r="BX198" s="81" t="str">
        <f>IFERROR(VLOOKUP( 5,[2]PE04!A123:G450,8,FALSE), "No encontrado")</f>
        <v>No encontrado</v>
      </c>
    </row>
    <row r="199" spans="1:76" ht="13.5" customHeight="1" x14ac:dyDescent="0.25">
      <c r="A199" s="70">
        <v>3335847</v>
      </c>
      <c r="B199" s="71" t="s">
        <v>245</v>
      </c>
      <c r="C199" s="71">
        <v>43</v>
      </c>
      <c r="D199" s="72" t="s">
        <v>123</v>
      </c>
      <c r="E199" s="73" t="s">
        <v>114</v>
      </c>
      <c r="F199" s="74">
        <f t="shared" si="27"/>
        <v>46566</v>
      </c>
      <c r="G199" s="73" t="s">
        <v>122</v>
      </c>
      <c r="K199" s="79" t="s">
        <v>232</v>
      </c>
      <c r="M199" s="79" t="s">
        <v>232</v>
      </c>
      <c r="P199" s="72" t="s">
        <v>568</v>
      </c>
      <c r="Q199" s="71" t="s">
        <v>401</v>
      </c>
      <c r="BE199" s="75" t="s">
        <v>198</v>
      </c>
      <c r="BF199" s="75" t="s">
        <v>199</v>
      </c>
      <c r="BI199" s="75" t="s">
        <v>204</v>
      </c>
      <c r="BJ199" s="75" t="s">
        <v>217</v>
      </c>
      <c r="BL199" s="116" t="s">
        <v>196</v>
      </c>
      <c r="BM199" s="75" t="s">
        <v>267</v>
      </c>
      <c r="BP199" s="73" t="s">
        <v>391</v>
      </c>
      <c r="BQ199" s="78" t="str">
        <f t="shared" si="21"/>
        <v>COM MAT ETI DER CUL EMP INV SST</v>
      </c>
      <c r="BR199" s="78" t="str">
        <f t="shared" si="24"/>
        <v>COM MAT DER CUL EMP INV SST</v>
      </c>
      <c r="BS199" s="78" t="str">
        <f t="shared" si="26"/>
        <v>MAT DER CUL EMP INV SST</v>
      </c>
      <c r="BT199" s="78" t="e">
        <f>VLOOKUP(A199,[2]Hoja1!$A$2:$B$123,2,FALSE)</f>
        <v>#N/A</v>
      </c>
      <c r="BW199" s="81">
        <f>VLOOKUP(A199,[2]PE04!$A$7:$A$328,1,FALSE)</f>
        <v>3335847</v>
      </c>
      <c r="BX199" s="81" t="str">
        <f>IFERROR(VLOOKUP( 5,[2]PE04!A124:G451,8,FALSE), "No encontrado")</f>
        <v>No encontrado</v>
      </c>
    </row>
    <row r="200" spans="1:76" ht="13.5" customHeight="1" x14ac:dyDescent="0.25">
      <c r="A200" s="70">
        <v>3335848</v>
      </c>
      <c r="B200" s="71" t="s">
        <v>245</v>
      </c>
      <c r="C200" s="71">
        <v>42</v>
      </c>
      <c r="D200" s="72" t="s">
        <v>123</v>
      </c>
      <c r="E200" s="73" t="s">
        <v>114</v>
      </c>
      <c r="F200" s="74">
        <f t="shared" si="27"/>
        <v>46566</v>
      </c>
      <c r="G200" s="73" t="s">
        <v>122</v>
      </c>
      <c r="K200" s="82" t="s">
        <v>229</v>
      </c>
      <c r="M200" s="82" t="s">
        <v>229</v>
      </c>
      <c r="P200" s="72" t="s">
        <v>572</v>
      </c>
      <c r="Q200" s="71" t="s">
        <v>401</v>
      </c>
      <c r="BE200" s="75" t="s">
        <v>198</v>
      </c>
      <c r="BF200" s="75" t="s">
        <v>199</v>
      </c>
      <c r="BI200" s="75" t="s">
        <v>204</v>
      </c>
      <c r="BJ200" s="75" t="s">
        <v>217</v>
      </c>
      <c r="BL200" s="75" t="s">
        <v>200</v>
      </c>
      <c r="BM200" s="75" t="s">
        <v>214</v>
      </c>
      <c r="BP200" s="73" t="s">
        <v>391</v>
      </c>
      <c r="BQ200" s="78" t="str">
        <f t="shared" si="21"/>
        <v>COM MAT ETI DER CUL EMP INV SST</v>
      </c>
      <c r="BR200" s="78" t="str">
        <f t="shared" si="24"/>
        <v>COM MAT DER CUL EMP INV SST</v>
      </c>
      <c r="BS200" s="78" t="str">
        <f t="shared" si="26"/>
        <v>COM DER CUL EMP INV SST</v>
      </c>
      <c r="BT200" s="78" t="e">
        <f>VLOOKUP(A200,[2]Hoja1!$A$2:$B$123,2,FALSE)</f>
        <v>#N/A</v>
      </c>
      <c r="BW200" s="81">
        <f>VLOOKUP(A200,[2]PE04!$A$7:$A$328,1,FALSE)</f>
        <v>3335848</v>
      </c>
      <c r="BX200" s="81" t="str">
        <f>IFERROR(VLOOKUP( 5,[2]PE04!A125:G452,8,FALSE), "No encontrado")</f>
        <v>No encontrado</v>
      </c>
    </row>
    <row r="201" spans="1:76" ht="13.5" customHeight="1" x14ac:dyDescent="0.25">
      <c r="A201" s="70">
        <v>3335849</v>
      </c>
      <c r="B201" s="71" t="s">
        <v>245</v>
      </c>
      <c r="C201" s="71">
        <v>51</v>
      </c>
      <c r="D201" s="72" t="s">
        <v>123</v>
      </c>
      <c r="E201" s="73" t="s">
        <v>114</v>
      </c>
      <c r="F201" s="74">
        <f t="shared" si="27"/>
        <v>46566</v>
      </c>
      <c r="G201" s="73" t="s">
        <v>122</v>
      </c>
      <c r="K201" s="83" t="s">
        <v>229</v>
      </c>
      <c r="M201" s="83" t="s">
        <v>229</v>
      </c>
      <c r="P201" s="72" t="s">
        <v>572</v>
      </c>
      <c r="Q201" s="71" t="s">
        <v>401</v>
      </c>
      <c r="BE201" s="75" t="s">
        <v>198</v>
      </c>
      <c r="BF201" s="75" t="s">
        <v>199</v>
      </c>
      <c r="BI201" s="75" t="s">
        <v>204</v>
      </c>
      <c r="BJ201" s="75" t="s">
        <v>217</v>
      </c>
      <c r="BL201" s="75" t="s">
        <v>200</v>
      </c>
      <c r="BM201" s="75" t="s">
        <v>214</v>
      </c>
      <c r="BP201" s="73" t="s">
        <v>391</v>
      </c>
      <c r="BQ201" s="78" t="str">
        <f t="shared" si="21"/>
        <v>COM MAT ETI DER CUL EMP INV SST</v>
      </c>
      <c r="BR201" s="78" t="str">
        <f t="shared" si="24"/>
        <v>COM MAT DER CUL EMP INV SST</v>
      </c>
      <c r="BS201" s="78" t="str">
        <f t="shared" si="26"/>
        <v>COM DER CUL EMP INV SST</v>
      </c>
      <c r="BT201" s="78" t="e">
        <f>VLOOKUP(A201,[2]Hoja1!$A$2:$B$123,2,FALSE)</f>
        <v>#N/A</v>
      </c>
      <c r="BW201" s="81">
        <f>VLOOKUP(A201,[2]PE04!$A$7:$A$328,1,FALSE)</f>
        <v>3335849</v>
      </c>
      <c r="BX201" s="81" t="str">
        <f>IFERROR(VLOOKUP( 5,[2]PE04!A126:G453,8,FALSE), "No encontrado")</f>
        <v>No encontrado</v>
      </c>
    </row>
    <row r="202" spans="1:76" ht="13.5" customHeight="1" x14ac:dyDescent="0.25">
      <c r="A202" s="70">
        <v>3336169</v>
      </c>
      <c r="B202" s="71" t="s">
        <v>245</v>
      </c>
      <c r="C202" s="71">
        <v>49</v>
      </c>
      <c r="D202" s="72" t="s">
        <v>271</v>
      </c>
      <c r="E202" s="73" t="s">
        <v>114</v>
      </c>
      <c r="F202" s="74">
        <f t="shared" si="27"/>
        <v>46566</v>
      </c>
      <c r="G202" s="73" t="s">
        <v>122</v>
      </c>
      <c r="K202" s="82" t="s">
        <v>367</v>
      </c>
      <c r="M202" s="82" t="s">
        <v>367</v>
      </c>
      <c r="P202" s="72" t="s">
        <v>367</v>
      </c>
      <c r="Q202" s="71" t="s">
        <v>274</v>
      </c>
      <c r="BA202" s="75" t="s">
        <v>198</v>
      </c>
      <c r="BB202" s="75" t="str">
        <f t="shared" ref="BB202:BB218" si="28">VLOOKUP(A202,_p8_2025,2,FALSE)</f>
        <v>ERICK RUIZ NOREÑA</v>
      </c>
      <c r="BE202" s="75" t="s">
        <v>200</v>
      </c>
      <c r="BF202" s="75" t="s">
        <v>201</v>
      </c>
      <c r="BI202" s="75" t="s">
        <v>204</v>
      </c>
      <c r="BJ202" s="75" t="s">
        <v>217</v>
      </c>
      <c r="BL202" s="75" t="s">
        <v>209</v>
      </c>
      <c r="BM202" s="75" t="s">
        <v>222</v>
      </c>
      <c r="BP202" s="73" t="s">
        <v>391</v>
      </c>
      <c r="BQ202" s="78" t="str">
        <f t="shared" si="21"/>
        <v>COM INV FIS EMP ETI SST CUL DER</v>
      </c>
      <c r="BR202" s="78" t="str">
        <f t="shared" si="24"/>
        <v>COM INV FIS EMP SST CUL DER</v>
      </c>
      <c r="BS202" s="78" t="str">
        <f t="shared" si="26"/>
        <v>COM INV FIS SST CUL DER</v>
      </c>
      <c r="BT202" s="78" t="e">
        <f>VLOOKUP(A202,[2]Hoja1!$A$2:$B$123,2,FALSE)</f>
        <v>#N/A</v>
      </c>
      <c r="BW202" s="81">
        <f>VLOOKUP(A202,[2]PE04!$A$7:$A$328,1,FALSE)</f>
        <v>3336169</v>
      </c>
      <c r="BX202" s="81" t="str">
        <f>IFERROR(VLOOKUP( 5,[2]PE04!A127:G454,8,FALSE), "No encontrado")</f>
        <v>No encontrado</v>
      </c>
    </row>
    <row r="203" spans="1:76" ht="13.5" customHeight="1" x14ac:dyDescent="0.25">
      <c r="A203" s="70">
        <v>3336170</v>
      </c>
      <c r="B203" s="71" t="s">
        <v>245</v>
      </c>
      <c r="C203" s="71">
        <v>40</v>
      </c>
      <c r="D203" s="72" t="s">
        <v>271</v>
      </c>
      <c r="E203" s="73" t="s">
        <v>114</v>
      </c>
      <c r="F203" s="74">
        <f t="shared" si="27"/>
        <v>46566</v>
      </c>
      <c r="G203" s="73" t="s">
        <v>122</v>
      </c>
      <c r="K203" s="82" t="s">
        <v>291</v>
      </c>
      <c r="M203" s="82" t="s">
        <v>291</v>
      </c>
      <c r="P203" s="72" t="s">
        <v>291</v>
      </c>
      <c r="Q203" s="71" t="s">
        <v>274</v>
      </c>
      <c r="BA203" s="75" t="s">
        <v>198</v>
      </c>
      <c r="BB203" s="75" t="str">
        <f t="shared" si="28"/>
        <v>SONIA PATRICIA CASTAÑEDA CAYCEDO</v>
      </c>
      <c r="BE203" s="75" t="s">
        <v>200</v>
      </c>
      <c r="BF203" s="75" t="s">
        <v>201</v>
      </c>
      <c r="BI203" s="75" t="s">
        <v>204</v>
      </c>
      <c r="BJ203" s="75" t="s">
        <v>217</v>
      </c>
      <c r="BL203" s="75" t="s">
        <v>206</v>
      </c>
      <c r="BM203" s="75" t="s">
        <v>227</v>
      </c>
      <c r="BP203" s="73" t="s">
        <v>391</v>
      </c>
      <c r="BQ203" s="78" t="str">
        <f t="shared" si="21"/>
        <v>COM INV FIS EMP ETI SST CUL DER</v>
      </c>
      <c r="BR203" s="78" t="str">
        <f t="shared" si="24"/>
        <v>COM INV FIS EMP SST CUL DER</v>
      </c>
      <c r="BS203" s="78" t="str">
        <f t="shared" si="26"/>
        <v>COM INV FIS EMP CUL DER</v>
      </c>
      <c r="BT203" s="78" t="e">
        <f>VLOOKUP(A203,[2]Hoja1!$A$2:$B$123,2,FALSE)</f>
        <v>#N/A</v>
      </c>
      <c r="BW203" s="81">
        <f>VLOOKUP(A203,[2]PE04!$A$7:$A$328,1,FALSE)</f>
        <v>3336170</v>
      </c>
      <c r="BX203" s="81" t="str">
        <f>IFERROR(VLOOKUP( 5,[2]PE04!A128:G455,8,FALSE), "No encontrado")</f>
        <v>No encontrado</v>
      </c>
    </row>
    <row r="204" spans="1:76" ht="13.5" customHeight="1" x14ac:dyDescent="0.25">
      <c r="A204" s="70">
        <v>3336171</v>
      </c>
      <c r="B204" s="71" t="s">
        <v>245</v>
      </c>
      <c r="C204" s="71">
        <v>55</v>
      </c>
      <c r="D204" s="72" t="s">
        <v>271</v>
      </c>
      <c r="E204" s="73" t="s">
        <v>114</v>
      </c>
      <c r="F204" s="74">
        <f t="shared" si="27"/>
        <v>46566</v>
      </c>
      <c r="G204" s="73" t="s">
        <v>122</v>
      </c>
      <c r="K204" s="82" t="s">
        <v>284</v>
      </c>
      <c r="M204" s="82" t="s">
        <v>284</v>
      </c>
      <c r="P204" s="72" t="s">
        <v>566</v>
      </c>
      <c r="Q204" s="71" t="s">
        <v>274</v>
      </c>
      <c r="BA204" s="75" t="s">
        <v>198</v>
      </c>
      <c r="BB204" s="75" t="str">
        <f t="shared" si="28"/>
        <v>SONIA PATRICIA CASTAÑEDA CAYCEDO</v>
      </c>
      <c r="BE204" s="75" t="s">
        <v>200</v>
      </c>
      <c r="BF204" s="75" t="s">
        <v>201</v>
      </c>
      <c r="BI204" s="75" t="s">
        <v>209</v>
      </c>
      <c r="BJ204" s="75" t="s">
        <v>228</v>
      </c>
      <c r="BL204" s="75" t="s">
        <v>206</v>
      </c>
      <c r="BM204" s="75" t="s">
        <v>213</v>
      </c>
      <c r="BP204" s="73" t="s">
        <v>391</v>
      </c>
      <c r="BQ204" s="78" t="str">
        <f t="shared" si="21"/>
        <v>COM INV FIS EMP ETI SST CUL DER</v>
      </c>
      <c r="BR204" s="78" t="str">
        <f t="shared" si="24"/>
        <v>COM INV FIS ETI SST CUL DER</v>
      </c>
      <c r="BS204" s="78" t="str">
        <f t="shared" si="26"/>
        <v>COM INV FIS ETI CUL DER</v>
      </c>
      <c r="BT204" s="78" t="e">
        <f>VLOOKUP(A204,[2]Hoja1!$A$2:$B$123,2,FALSE)</f>
        <v>#N/A</v>
      </c>
      <c r="BW204" s="81">
        <f>VLOOKUP(A204,[2]PE04!$A$7:$A$328,1,FALSE)</f>
        <v>3336171</v>
      </c>
      <c r="BX204" s="81" t="str">
        <f>IFERROR(VLOOKUP( 5,[2]PE04!A129:G456,8,FALSE), "No encontrado")</f>
        <v>No encontrado</v>
      </c>
    </row>
    <row r="205" spans="1:76" ht="13.5" customHeight="1" x14ac:dyDescent="0.25">
      <c r="A205" s="70">
        <v>3336172</v>
      </c>
      <c r="B205" s="71" t="s">
        <v>245</v>
      </c>
      <c r="C205" s="71">
        <v>48</v>
      </c>
      <c r="D205" s="72" t="s">
        <v>271</v>
      </c>
      <c r="E205" s="73" t="s">
        <v>114</v>
      </c>
      <c r="F205" s="74">
        <f t="shared" si="27"/>
        <v>46566</v>
      </c>
      <c r="G205" s="73" t="s">
        <v>122</v>
      </c>
      <c r="K205" s="80" t="s">
        <v>323</v>
      </c>
      <c r="M205" s="80" t="s">
        <v>323</v>
      </c>
      <c r="P205" s="72" t="s">
        <v>279</v>
      </c>
      <c r="Q205" s="71" t="s">
        <v>274</v>
      </c>
      <c r="BA205" s="75" t="s">
        <v>198</v>
      </c>
      <c r="BB205" s="75" t="str">
        <f t="shared" si="28"/>
        <v>CRISTINA CASTAÑO CASTILLO</v>
      </c>
      <c r="BE205" s="75" t="s">
        <v>200</v>
      </c>
      <c r="BF205" s="75" t="s">
        <v>201</v>
      </c>
      <c r="BI205" s="75" t="s">
        <v>209</v>
      </c>
      <c r="BJ205" s="75" t="s">
        <v>228</v>
      </c>
      <c r="BL205" s="75" t="s">
        <v>206</v>
      </c>
      <c r="BM205" s="75" t="s">
        <v>213</v>
      </c>
      <c r="BP205" s="73" t="s">
        <v>391</v>
      </c>
      <c r="BQ205" s="78" t="str">
        <f t="shared" si="21"/>
        <v>COM INV FIS EMP ETI SST CUL DER</v>
      </c>
      <c r="BR205" s="78" t="str">
        <f t="shared" si="24"/>
        <v>COM INV FIS ETI SST CUL DER</v>
      </c>
      <c r="BS205" s="78" t="str">
        <f t="shared" si="26"/>
        <v>COM INV FIS ETI CUL DER</v>
      </c>
      <c r="BT205" s="78" t="e">
        <f>VLOOKUP(A205,[2]Hoja1!$A$2:$B$123,2,FALSE)</f>
        <v>#N/A</v>
      </c>
      <c r="BW205" s="81">
        <f>VLOOKUP(A205,[2]PE04!$A$7:$A$328,1,FALSE)</f>
        <v>3336172</v>
      </c>
      <c r="BX205" s="81" t="str">
        <f>IFERROR(VLOOKUP( 5,[2]PE04!A130:G457,8,FALSE), "No encontrado")</f>
        <v>No encontrado</v>
      </c>
    </row>
    <row r="206" spans="1:76" ht="13.5" customHeight="1" x14ac:dyDescent="0.25">
      <c r="A206" s="70">
        <v>3336173</v>
      </c>
      <c r="B206" s="71" t="s">
        <v>245</v>
      </c>
      <c r="C206" s="71">
        <v>49</v>
      </c>
      <c r="D206" s="72" t="s">
        <v>271</v>
      </c>
      <c r="E206" s="73" t="s">
        <v>114</v>
      </c>
      <c r="F206" s="74">
        <f t="shared" si="27"/>
        <v>46566</v>
      </c>
      <c r="G206" s="73" t="s">
        <v>122</v>
      </c>
      <c r="K206" s="82" t="s">
        <v>285</v>
      </c>
      <c r="M206" s="82" t="s">
        <v>285</v>
      </c>
      <c r="P206" s="72" t="s">
        <v>285</v>
      </c>
      <c r="Q206" s="71" t="s">
        <v>274</v>
      </c>
      <c r="BA206" s="75" t="s">
        <v>198</v>
      </c>
      <c r="BB206" s="75" t="str">
        <f t="shared" si="28"/>
        <v>SONIA PATRICIA CASTAÑEDA CAYCEDO</v>
      </c>
      <c r="BE206" s="75" t="s">
        <v>200</v>
      </c>
      <c r="BF206" s="75" t="s">
        <v>201</v>
      </c>
      <c r="BI206" s="75" t="s">
        <v>209</v>
      </c>
      <c r="BJ206" s="75" t="s">
        <v>228</v>
      </c>
      <c r="BL206" s="75" t="s">
        <v>204</v>
      </c>
      <c r="BM206" s="75" t="s">
        <v>205</v>
      </c>
      <c r="BP206" s="73" t="s">
        <v>391</v>
      </c>
      <c r="BQ206" s="78" t="str">
        <f t="shared" si="21"/>
        <v>COM INV FIS EMP ETI SST CUL DER</v>
      </c>
      <c r="BR206" s="78" t="str">
        <f t="shared" si="24"/>
        <v>COM INV FIS ETI SST CUL DER</v>
      </c>
      <c r="BS206" s="78" t="str">
        <f t="shared" si="26"/>
        <v>COM INV FIS SST CUL DER</v>
      </c>
      <c r="BT206" s="78" t="e">
        <f>VLOOKUP(A206,[2]Hoja1!$A$2:$B$123,2,FALSE)</f>
        <v>#N/A</v>
      </c>
      <c r="BW206" s="81">
        <f>VLOOKUP(A206,[2]PE04!$A$7:$A$328,1,FALSE)</f>
        <v>3336173</v>
      </c>
      <c r="BX206" s="81" t="str">
        <f>IFERROR(VLOOKUP( 5,[2]PE04!A131:G458,8,FALSE), "No encontrado")</f>
        <v>No encontrado</v>
      </c>
    </row>
    <row r="207" spans="1:76" ht="13.5" customHeight="1" x14ac:dyDescent="0.25">
      <c r="A207" s="70">
        <v>3336174</v>
      </c>
      <c r="B207" s="71" t="s">
        <v>245</v>
      </c>
      <c r="C207" s="71">
        <v>51</v>
      </c>
      <c r="D207" s="72" t="s">
        <v>271</v>
      </c>
      <c r="E207" s="73" t="s">
        <v>114</v>
      </c>
      <c r="F207" s="74">
        <f t="shared" si="27"/>
        <v>46566</v>
      </c>
      <c r="G207" s="73" t="s">
        <v>122</v>
      </c>
      <c r="K207" s="82" t="s">
        <v>273</v>
      </c>
      <c r="M207" s="82" t="s">
        <v>273</v>
      </c>
      <c r="P207" s="72" t="s">
        <v>273</v>
      </c>
      <c r="Q207" s="71" t="s">
        <v>274</v>
      </c>
      <c r="BA207" s="75" t="s">
        <v>198</v>
      </c>
      <c r="BB207" s="75" t="str">
        <f t="shared" si="28"/>
        <v>ERICK RUIZ NOREÑA</v>
      </c>
      <c r="BE207" s="75" t="s">
        <v>200</v>
      </c>
      <c r="BF207" s="75" t="s">
        <v>220</v>
      </c>
      <c r="BI207" s="75" t="s">
        <v>209</v>
      </c>
      <c r="BJ207" s="75" t="s">
        <v>236</v>
      </c>
      <c r="BL207" s="75" t="s">
        <v>204</v>
      </c>
      <c r="BM207" s="75" t="s">
        <v>205</v>
      </c>
      <c r="BP207" s="73" t="s">
        <v>391</v>
      </c>
      <c r="BQ207" s="78" t="str">
        <f t="shared" ref="BQ207:BQ256" si="29">TRIM(SUBSTITUTE(SUBSTITUTE(SUBSTITUTE(SUBSTITUTE(SUBSTITUTE(SUBSTITUTE(SUBSTITUTE(SUBSTITUTE(SUBSTITUTE(SUBSTITUTE(SUBSTITUTE(SUBSTITUTE(SUBSTITUTE(SUBSTITUTE(SUBSTITUTE(SUBSTITUTE(Q207, Y207, ""), AA207, ""), AC207, ""), AE207, ""), AG207, ""), AK207, ""), AO207, ""), AQ207, ""), AS207, ""), AU207, ""), AW207, ""), AY207, ""), BA207, ""), BC207, ""), BE207, ""), BG207, ""))</f>
        <v>COM INV FIS EMP ETI SST CUL DER</v>
      </c>
      <c r="BR207" s="78" t="str">
        <f t="shared" si="24"/>
        <v>COM INV FIS ETI SST CUL DER</v>
      </c>
      <c r="BS207" s="78" t="str">
        <f t="shared" si="26"/>
        <v>COM INV FIS SST CUL DER</v>
      </c>
      <c r="BT207" s="78" t="e">
        <f>VLOOKUP(A207,[2]Hoja1!$A$2:$B$123,2,FALSE)</f>
        <v>#N/A</v>
      </c>
      <c r="BW207" s="81">
        <f>VLOOKUP(A207,[2]PE04!$A$7:$A$328,1,FALSE)</f>
        <v>3336174</v>
      </c>
      <c r="BX207" s="81" t="str">
        <f>IFERROR(VLOOKUP( 5,[2]PE04!A132:G459,8,FALSE), "No encontrado")</f>
        <v>No encontrado</v>
      </c>
    </row>
    <row r="208" spans="1:76" ht="13.5" customHeight="1" x14ac:dyDescent="0.25">
      <c r="A208" s="70">
        <v>3336175</v>
      </c>
      <c r="B208" s="71" t="s">
        <v>245</v>
      </c>
      <c r="C208" s="71">
        <v>48</v>
      </c>
      <c r="D208" s="72" t="s">
        <v>271</v>
      </c>
      <c r="E208" s="73" t="s">
        <v>114</v>
      </c>
      <c r="F208" s="74">
        <f t="shared" si="27"/>
        <v>46566</v>
      </c>
      <c r="G208" s="73" t="s">
        <v>122</v>
      </c>
      <c r="K208" s="80" t="s">
        <v>323</v>
      </c>
      <c r="M208" s="80" t="s">
        <v>323</v>
      </c>
      <c r="P208" s="72" t="s">
        <v>279</v>
      </c>
      <c r="Q208" s="71" t="s">
        <v>274</v>
      </c>
      <c r="BA208" s="75" t="s">
        <v>198</v>
      </c>
      <c r="BB208" s="75" t="str">
        <f t="shared" si="28"/>
        <v>ANGELICA JANETH RODRIGUEZ ALONSO</v>
      </c>
      <c r="BE208" s="75" t="s">
        <v>200</v>
      </c>
      <c r="BF208" s="75" t="s">
        <v>214</v>
      </c>
      <c r="BI208" s="75" t="s">
        <v>209</v>
      </c>
      <c r="BJ208" s="75" t="s">
        <v>236</v>
      </c>
      <c r="BL208" s="75" t="s">
        <v>204</v>
      </c>
      <c r="BM208" s="75" t="s">
        <v>205</v>
      </c>
      <c r="BP208" s="73" t="s">
        <v>391</v>
      </c>
      <c r="BQ208" s="78" t="str">
        <f t="shared" si="29"/>
        <v>COM INV FIS EMP ETI SST CUL DER</v>
      </c>
      <c r="BR208" s="78" t="str">
        <f t="shared" si="24"/>
        <v>COM INV FIS ETI SST CUL DER</v>
      </c>
      <c r="BS208" s="78" t="str">
        <f t="shared" si="26"/>
        <v>COM INV FIS SST CUL DER</v>
      </c>
      <c r="BT208" s="78" t="e">
        <f>VLOOKUP(A208,[2]Hoja1!$A$2:$B$123,2,FALSE)</f>
        <v>#N/A</v>
      </c>
      <c r="BW208" s="81">
        <f>VLOOKUP(A208,[2]PE04!$A$7:$A$328,1,FALSE)</f>
        <v>3336175</v>
      </c>
      <c r="BX208" s="81" t="str">
        <f>IFERROR(VLOOKUP( 5,[2]PE04!A133:G460,8,FALSE), "No encontrado")</f>
        <v>No encontrado</v>
      </c>
    </row>
    <row r="209" spans="1:76" ht="13.5" customHeight="1" x14ac:dyDescent="0.25">
      <c r="A209" s="70">
        <v>3336176</v>
      </c>
      <c r="B209" s="71" t="s">
        <v>245</v>
      </c>
      <c r="C209" s="71">
        <v>58</v>
      </c>
      <c r="D209" s="72" t="s">
        <v>271</v>
      </c>
      <c r="E209" s="73" t="s">
        <v>114</v>
      </c>
      <c r="F209" s="74">
        <f t="shared" si="27"/>
        <v>46566</v>
      </c>
      <c r="G209" s="73" t="s">
        <v>122</v>
      </c>
      <c r="K209" s="80" t="s">
        <v>323</v>
      </c>
      <c r="M209" s="80" t="s">
        <v>323</v>
      </c>
      <c r="P209" s="72" t="s">
        <v>279</v>
      </c>
      <c r="Q209" s="71" t="s">
        <v>274</v>
      </c>
      <c r="BA209" s="75" t="s">
        <v>198</v>
      </c>
      <c r="BB209" s="75" t="str">
        <f t="shared" si="28"/>
        <v>ERICK RUIZ NOREÑA</v>
      </c>
      <c r="BE209" s="75" t="s">
        <v>200</v>
      </c>
      <c r="BF209" s="75" t="s">
        <v>214</v>
      </c>
      <c r="BI209" s="75" t="s">
        <v>209</v>
      </c>
      <c r="BJ209" s="75" t="s">
        <v>236</v>
      </c>
      <c r="BL209" s="75" t="s">
        <v>196</v>
      </c>
      <c r="BP209" s="73" t="s">
        <v>391</v>
      </c>
      <c r="BQ209" s="78" t="str">
        <f t="shared" si="29"/>
        <v>COM INV FIS EMP ETI SST CUL DER</v>
      </c>
      <c r="BR209" s="78" t="str">
        <f t="shared" si="24"/>
        <v>COM INV FIS ETI SST CUL DER</v>
      </c>
      <c r="BS209" s="78" t="str">
        <f t="shared" si="26"/>
        <v>INV FIS ETI SST CUL DER</v>
      </c>
      <c r="BT209" s="78" t="e">
        <f>VLOOKUP(A209,[2]Hoja1!$A$2:$B$123,2,FALSE)</f>
        <v>#N/A</v>
      </c>
      <c r="BW209" s="81">
        <f>VLOOKUP(A209,[2]PE04!$A$7:$A$328,1,FALSE)</f>
        <v>3336176</v>
      </c>
      <c r="BX209" s="81" t="str">
        <f>IFERROR(VLOOKUP( 5,[2]PE04!A134:G461,8,FALSE), "No encontrado")</f>
        <v>No encontrado</v>
      </c>
    </row>
    <row r="210" spans="1:76" ht="13.5" customHeight="1" x14ac:dyDescent="0.25">
      <c r="A210" s="70">
        <v>3336177</v>
      </c>
      <c r="B210" s="71" t="s">
        <v>245</v>
      </c>
      <c r="C210" s="71">
        <v>42</v>
      </c>
      <c r="D210" s="72" t="s">
        <v>271</v>
      </c>
      <c r="E210" s="73" t="s">
        <v>114</v>
      </c>
      <c r="F210" s="74">
        <f t="shared" si="27"/>
        <v>46566</v>
      </c>
      <c r="G210" s="73" t="s">
        <v>122</v>
      </c>
      <c r="K210" s="82" t="s">
        <v>285</v>
      </c>
      <c r="M210" s="82" t="s">
        <v>285</v>
      </c>
      <c r="P210" s="72" t="s">
        <v>285</v>
      </c>
      <c r="Q210" s="71" t="s">
        <v>274</v>
      </c>
      <c r="BA210" s="75" t="s">
        <v>198</v>
      </c>
      <c r="BB210" s="75" t="str">
        <f t="shared" si="28"/>
        <v>SONIA PATRICIA CASTAÑEDA CAYCEDO</v>
      </c>
      <c r="BE210" s="75" t="s">
        <v>200</v>
      </c>
      <c r="BF210" s="75" t="s">
        <v>201</v>
      </c>
      <c r="BI210" s="75" t="s">
        <v>209</v>
      </c>
      <c r="BJ210" s="75" t="s">
        <v>236</v>
      </c>
      <c r="BL210" s="75" t="s">
        <v>196</v>
      </c>
      <c r="BM210" s="75" t="s">
        <v>267</v>
      </c>
      <c r="BP210" s="73" t="s">
        <v>391</v>
      </c>
      <c r="BQ210" s="78" t="str">
        <f t="shared" si="29"/>
        <v>COM INV FIS EMP ETI SST CUL DER</v>
      </c>
      <c r="BR210" s="78" t="str">
        <f t="shared" si="24"/>
        <v>COM INV FIS ETI SST CUL DER</v>
      </c>
      <c r="BS210" s="78" t="str">
        <f t="shared" si="26"/>
        <v>INV FIS ETI SST CUL DER</v>
      </c>
      <c r="BT210" s="78" t="e">
        <f>VLOOKUP(A210,[2]Hoja1!$A$2:$B$123,2,FALSE)</f>
        <v>#N/A</v>
      </c>
      <c r="BW210" s="81">
        <f>VLOOKUP(A210,[2]PE04!$A$7:$A$328,1,FALSE)</f>
        <v>3336177</v>
      </c>
      <c r="BX210" s="81" t="str">
        <f>IFERROR(VLOOKUP( 5,[2]PE04!A135:G462,8,FALSE), "No encontrado")</f>
        <v>No encontrado</v>
      </c>
    </row>
    <row r="211" spans="1:76" ht="13.5" customHeight="1" x14ac:dyDescent="0.25">
      <c r="A211" s="70">
        <v>3336178</v>
      </c>
      <c r="B211" s="71" t="s">
        <v>245</v>
      </c>
      <c r="C211" s="71">
        <v>42</v>
      </c>
      <c r="D211" s="72" t="s">
        <v>271</v>
      </c>
      <c r="E211" s="73" t="s">
        <v>114</v>
      </c>
      <c r="F211" s="74">
        <f t="shared" si="27"/>
        <v>46566</v>
      </c>
      <c r="G211" s="73" t="s">
        <v>122</v>
      </c>
      <c r="K211" s="80" t="s">
        <v>323</v>
      </c>
      <c r="M211" s="80" t="s">
        <v>323</v>
      </c>
      <c r="P211" s="72" t="s">
        <v>279</v>
      </c>
      <c r="Q211" s="71" t="s">
        <v>274</v>
      </c>
      <c r="BA211" s="75" t="s">
        <v>198</v>
      </c>
      <c r="BB211" s="75" t="str">
        <f t="shared" si="28"/>
        <v>ANGELICA JANETH RODRIGUEZ ALONSO</v>
      </c>
      <c r="BE211" s="75" t="s">
        <v>200</v>
      </c>
      <c r="BF211" s="75" t="s">
        <v>214</v>
      </c>
      <c r="BI211" s="75" t="s">
        <v>209</v>
      </c>
      <c r="BJ211" s="75" t="s">
        <v>236</v>
      </c>
      <c r="BL211" s="75" t="s">
        <v>196</v>
      </c>
      <c r="BP211" s="73" t="s">
        <v>391</v>
      </c>
      <c r="BQ211" s="78" t="str">
        <f t="shared" si="29"/>
        <v>COM INV FIS EMP ETI SST CUL DER</v>
      </c>
      <c r="BR211" s="78" t="str">
        <f t="shared" si="24"/>
        <v>COM INV FIS ETI SST CUL DER</v>
      </c>
      <c r="BS211" s="78" t="str">
        <f t="shared" si="26"/>
        <v>INV FIS ETI SST CUL DER</v>
      </c>
      <c r="BT211" s="78" t="e">
        <f>VLOOKUP(A211,[2]Hoja1!$A$2:$B$123,2,FALSE)</f>
        <v>#N/A</v>
      </c>
      <c r="BW211" s="81">
        <f>VLOOKUP(A211,[2]PE04!$A$7:$A$328,1,FALSE)</f>
        <v>3336178</v>
      </c>
      <c r="BX211" s="81" t="str">
        <f>IFERROR(VLOOKUP( 5,[2]PE04!A136:G463,8,FALSE), "No encontrado")</f>
        <v>No encontrado</v>
      </c>
    </row>
    <row r="212" spans="1:76" ht="13.5" customHeight="1" x14ac:dyDescent="0.25">
      <c r="A212" s="70">
        <v>3336179</v>
      </c>
      <c r="B212" s="71" t="s">
        <v>245</v>
      </c>
      <c r="C212" s="71">
        <v>50</v>
      </c>
      <c r="D212" s="72" t="s">
        <v>271</v>
      </c>
      <c r="E212" s="73" t="s">
        <v>114</v>
      </c>
      <c r="F212" s="74">
        <f t="shared" si="27"/>
        <v>46566</v>
      </c>
      <c r="G212" s="73" t="s">
        <v>122</v>
      </c>
      <c r="K212" s="82" t="s">
        <v>291</v>
      </c>
      <c r="M212" s="82" t="s">
        <v>291</v>
      </c>
      <c r="P212" s="72" t="s">
        <v>291</v>
      </c>
      <c r="Q212" s="71" t="s">
        <v>274</v>
      </c>
      <c r="BA212" s="75" t="s">
        <v>198</v>
      </c>
      <c r="BB212" s="75" t="str">
        <f t="shared" si="28"/>
        <v>ANGELICA JANETH RODRIGUEZ ALONSO</v>
      </c>
      <c r="BE212" s="75" t="s">
        <v>200</v>
      </c>
      <c r="BF212" s="75" t="s">
        <v>214</v>
      </c>
      <c r="BI212" s="75" t="s">
        <v>254</v>
      </c>
      <c r="BJ212" s="75" t="s">
        <v>324</v>
      </c>
      <c r="BL212" s="75" t="s">
        <v>209</v>
      </c>
      <c r="BM212" s="75" t="s">
        <v>222</v>
      </c>
      <c r="BP212" s="73" t="s">
        <v>391</v>
      </c>
      <c r="BQ212" s="78" t="str">
        <f t="shared" si="29"/>
        <v>COM INV FIS EMP ETI SST CUL DER</v>
      </c>
      <c r="BR212" s="78" t="str">
        <f t="shared" si="24"/>
        <v>COM FIS EMP ETI SST CUL DER</v>
      </c>
      <c r="BS212" s="78" t="str">
        <f t="shared" si="26"/>
        <v>COM FIS ETI SST CUL DER</v>
      </c>
      <c r="BT212" s="78" t="e">
        <f>VLOOKUP(A212,[2]Hoja1!$A$2:$B$123,2,FALSE)</f>
        <v>#N/A</v>
      </c>
      <c r="BW212" s="81">
        <f>VLOOKUP(A212,[2]PE04!$A$7:$A$328,1,FALSE)</f>
        <v>3336179</v>
      </c>
      <c r="BX212" s="81" t="str">
        <f>IFERROR(VLOOKUP( 5,[2]PE04!A137:G464,8,FALSE), "No encontrado")</f>
        <v>No encontrado</v>
      </c>
    </row>
    <row r="213" spans="1:76" ht="13.5" customHeight="1" x14ac:dyDescent="0.25">
      <c r="A213" s="70">
        <v>3336180</v>
      </c>
      <c r="B213" s="71" t="s">
        <v>245</v>
      </c>
      <c r="C213" s="71">
        <v>48</v>
      </c>
      <c r="D213" s="72" t="s">
        <v>271</v>
      </c>
      <c r="E213" s="73" t="s">
        <v>114</v>
      </c>
      <c r="F213" s="74">
        <f t="shared" si="27"/>
        <v>46566</v>
      </c>
      <c r="G213" s="73" t="s">
        <v>122</v>
      </c>
      <c r="K213" s="82" t="s">
        <v>284</v>
      </c>
      <c r="M213" s="82" t="s">
        <v>284</v>
      </c>
      <c r="P213" s="72" t="s">
        <v>566</v>
      </c>
      <c r="Q213" s="71" t="s">
        <v>274</v>
      </c>
      <c r="BA213" s="75" t="s">
        <v>198</v>
      </c>
      <c r="BB213" s="75" t="str">
        <f t="shared" si="28"/>
        <v>ERICK RUIZ NOREÑA</v>
      </c>
      <c r="BE213" s="75" t="s">
        <v>200</v>
      </c>
      <c r="BF213" s="75" t="s">
        <v>214</v>
      </c>
      <c r="BI213" s="75" t="s">
        <v>254</v>
      </c>
      <c r="BJ213" s="75" t="s">
        <v>324</v>
      </c>
      <c r="BL213" s="75" t="s">
        <v>209</v>
      </c>
      <c r="BM213" s="75" t="s">
        <v>222</v>
      </c>
      <c r="BP213" s="73" t="s">
        <v>388</v>
      </c>
      <c r="BQ213" s="78" t="str">
        <f t="shared" si="29"/>
        <v>COM INV FIS EMP ETI SST CUL DER</v>
      </c>
      <c r="BR213" s="78" t="str">
        <f t="shared" si="24"/>
        <v>COM FIS EMP ETI SST CUL DER</v>
      </c>
      <c r="BS213" s="78" t="str">
        <f t="shared" si="26"/>
        <v>COM FIS ETI SST CUL DER</v>
      </c>
      <c r="BT213" s="78" t="e">
        <f>VLOOKUP(A213,[2]Hoja1!$A$2:$B$123,2,FALSE)</f>
        <v>#N/A</v>
      </c>
      <c r="BW213" s="81">
        <f>VLOOKUP(A213,[2]PE04!$A$7:$A$328,1,FALSE)</f>
        <v>3336180</v>
      </c>
      <c r="BX213" s="81" t="str">
        <f>IFERROR(VLOOKUP( 5,[2]PE04!A138:G465,8,FALSE), "No encontrado")</f>
        <v>No encontrado</v>
      </c>
    </row>
    <row r="214" spans="1:76" ht="13.5" customHeight="1" x14ac:dyDescent="0.25">
      <c r="A214" s="70">
        <v>3336181</v>
      </c>
      <c r="B214" s="71" t="s">
        <v>245</v>
      </c>
      <c r="C214" s="71">
        <v>51</v>
      </c>
      <c r="D214" s="72" t="s">
        <v>271</v>
      </c>
      <c r="E214" s="73" t="s">
        <v>114</v>
      </c>
      <c r="F214" s="74">
        <f t="shared" si="27"/>
        <v>46566</v>
      </c>
      <c r="G214" s="73" t="s">
        <v>122</v>
      </c>
      <c r="K214" s="82" t="s">
        <v>285</v>
      </c>
      <c r="M214" s="82" t="s">
        <v>285</v>
      </c>
      <c r="P214" s="72" t="s">
        <v>285</v>
      </c>
      <c r="Q214" s="71" t="s">
        <v>274</v>
      </c>
      <c r="BA214" s="75" t="s">
        <v>198</v>
      </c>
      <c r="BB214" s="75" t="str">
        <f t="shared" si="28"/>
        <v>CRISTINA CASTAÑO CASTILLO</v>
      </c>
      <c r="BI214" s="75" t="s">
        <v>254</v>
      </c>
      <c r="BJ214" s="75" t="s">
        <v>324</v>
      </c>
      <c r="BL214" s="75" t="s">
        <v>200</v>
      </c>
      <c r="BM214" s="75" t="s">
        <v>220</v>
      </c>
      <c r="BP214" s="73" t="s">
        <v>388</v>
      </c>
      <c r="BQ214" s="78" t="str">
        <f t="shared" si="29"/>
        <v>MAT COM INV FIS EMP ETI SST CUL DER</v>
      </c>
      <c r="BR214" s="78" t="str">
        <f t="shared" si="24"/>
        <v>MAT COM FIS EMP ETI SST CUL DER</v>
      </c>
      <c r="BS214" s="78" t="str">
        <f t="shared" si="26"/>
        <v>COM FIS EMP ETI SST CUL DER</v>
      </c>
      <c r="BT214" s="78" t="e">
        <f>VLOOKUP(A214,[2]Hoja1!$A$2:$B$123,2,FALSE)</f>
        <v>#N/A</v>
      </c>
      <c r="BW214" s="81">
        <f>VLOOKUP(A214,[2]PE04!$A$7:$A$328,1,FALSE)</f>
        <v>3336181</v>
      </c>
      <c r="BX214" s="81" t="str">
        <f>IFERROR(VLOOKUP( 5,[2]PE04!A139:G466,8,FALSE), "No encontrado")</f>
        <v>No encontrado</v>
      </c>
    </row>
    <row r="215" spans="1:76" ht="13.5" customHeight="1" x14ac:dyDescent="0.25">
      <c r="A215" s="70">
        <v>3336182</v>
      </c>
      <c r="B215" s="71" t="s">
        <v>245</v>
      </c>
      <c r="C215" s="71">
        <v>47</v>
      </c>
      <c r="D215" s="72" t="s">
        <v>271</v>
      </c>
      <c r="E215" s="73" t="s">
        <v>114</v>
      </c>
      <c r="F215" s="74">
        <f t="shared" si="27"/>
        <v>46566</v>
      </c>
      <c r="G215" s="73" t="s">
        <v>122</v>
      </c>
      <c r="K215" s="82" t="s">
        <v>367</v>
      </c>
      <c r="M215" s="82" t="s">
        <v>367</v>
      </c>
      <c r="P215" s="72" t="s">
        <v>564</v>
      </c>
      <c r="Q215" s="71" t="s">
        <v>274</v>
      </c>
      <c r="BA215" s="75" t="s">
        <v>198</v>
      </c>
      <c r="BB215" s="75" t="str">
        <f t="shared" si="28"/>
        <v>CRISTINA CASTAÑO CASTILLO</v>
      </c>
      <c r="BI215" s="75" t="s">
        <v>200</v>
      </c>
      <c r="BJ215" s="75" t="s">
        <v>214</v>
      </c>
      <c r="BL215" s="75" t="s">
        <v>209</v>
      </c>
      <c r="BM215" s="75" t="s">
        <v>226</v>
      </c>
      <c r="BP215" s="73" t="s">
        <v>388</v>
      </c>
      <c r="BQ215" s="78" t="str">
        <f t="shared" si="29"/>
        <v>MAT COM INV FIS EMP ETI SST CUL DER</v>
      </c>
      <c r="BR215" s="78" t="str">
        <f t="shared" si="24"/>
        <v>COM INV FIS EMP ETI SST CUL DER</v>
      </c>
      <c r="BS215" s="78" t="str">
        <f t="shared" si="26"/>
        <v>COM INV FIS ETI SST CUL DER</v>
      </c>
      <c r="BT215" s="78" t="e">
        <f>VLOOKUP(A215,[2]Hoja1!$A$2:$B$123,2,FALSE)</f>
        <v>#N/A</v>
      </c>
      <c r="BW215" s="81">
        <f>VLOOKUP(A215,[2]PE04!$A$7:$A$328,1,FALSE)</f>
        <v>3336182</v>
      </c>
      <c r="BX215" s="81" t="str">
        <f>IFERROR(VLOOKUP( 5,[2]PE04!A140:G467,8,FALSE), "No encontrado")</f>
        <v>No encontrado</v>
      </c>
    </row>
    <row r="216" spans="1:76" ht="13.5" customHeight="1" x14ac:dyDescent="0.25">
      <c r="A216" s="70">
        <v>3336183</v>
      </c>
      <c r="B216" s="71" t="s">
        <v>245</v>
      </c>
      <c r="C216" s="71">
        <v>47</v>
      </c>
      <c r="D216" s="72" t="s">
        <v>271</v>
      </c>
      <c r="E216" s="73" t="s">
        <v>114</v>
      </c>
      <c r="F216" s="74">
        <f t="shared" si="27"/>
        <v>46566</v>
      </c>
      <c r="G216" s="73" t="s">
        <v>122</v>
      </c>
      <c r="K216" s="82" t="s">
        <v>285</v>
      </c>
      <c r="M216" s="82" t="s">
        <v>285</v>
      </c>
      <c r="P216" s="72" t="s">
        <v>473</v>
      </c>
      <c r="Q216" s="71" t="s">
        <v>274</v>
      </c>
      <c r="BA216" s="75" t="s">
        <v>198</v>
      </c>
      <c r="BB216" s="75" t="str">
        <f t="shared" si="28"/>
        <v>ANGELICA JANETH RODRIGUEZ ALONSO</v>
      </c>
      <c r="BI216" s="75" t="s">
        <v>200</v>
      </c>
      <c r="BJ216" s="75" t="s">
        <v>214</v>
      </c>
      <c r="BL216" s="75" t="s">
        <v>209</v>
      </c>
      <c r="BM216" s="75" t="s">
        <v>226</v>
      </c>
      <c r="BP216" s="73" t="s">
        <v>388</v>
      </c>
      <c r="BQ216" s="78" t="str">
        <f t="shared" si="29"/>
        <v>MAT COM INV FIS EMP ETI SST CUL DER</v>
      </c>
      <c r="BR216" s="78" t="str">
        <f t="shared" si="24"/>
        <v>COM INV FIS EMP ETI SST CUL DER</v>
      </c>
      <c r="BS216" s="78" t="str">
        <f t="shared" si="26"/>
        <v>COM INV FIS ETI SST CUL DER</v>
      </c>
      <c r="BT216" s="78" t="e">
        <f>VLOOKUP(A216,[2]Hoja1!$A$2:$B$123,2,FALSE)</f>
        <v>#N/A</v>
      </c>
      <c r="BW216" s="81">
        <f>VLOOKUP(A216,[2]PE04!$A$7:$A$328,1,FALSE)</f>
        <v>3336183</v>
      </c>
      <c r="BX216" s="81" t="str">
        <f>IFERROR(VLOOKUP( 5,[2]PE04!A141:G468,8,FALSE), "No encontrado")</f>
        <v>No encontrado</v>
      </c>
    </row>
    <row r="217" spans="1:76" ht="13.5" customHeight="1" x14ac:dyDescent="0.25">
      <c r="A217" s="70">
        <v>3336184</v>
      </c>
      <c r="B217" s="71" t="s">
        <v>245</v>
      </c>
      <c r="C217" s="71">
        <v>48</v>
      </c>
      <c r="D217" s="72" t="s">
        <v>271</v>
      </c>
      <c r="E217" s="73" t="s">
        <v>114</v>
      </c>
      <c r="F217" s="74">
        <f t="shared" si="27"/>
        <v>46566</v>
      </c>
      <c r="G217" s="73" t="s">
        <v>122</v>
      </c>
      <c r="K217" s="82" t="s">
        <v>273</v>
      </c>
      <c r="M217" s="82" t="s">
        <v>273</v>
      </c>
      <c r="P217" s="72" t="s">
        <v>473</v>
      </c>
      <c r="Q217" s="71" t="s">
        <v>274</v>
      </c>
      <c r="BA217" s="75" t="s">
        <v>198</v>
      </c>
      <c r="BB217" s="75" t="str">
        <f t="shared" si="28"/>
        <v>SONIA PATRICIA CASTAÑEDA CAYCEDO</v>
      </c>
      <c r="BI217" s="75" t="s">
        <v>200</v>
      </c>
      <c r="BJ217" s="75" t="s">
        <v>214</v>
      </c>
      <c r="BL217" s="75" t="s">
        <v>208</v>
      </c>
      <c r="BM217" s="75" t="s">
        <v>547</v>
      </c>
      <c r="BP217" s="73" t="s">
        <v>388</v>
      </c>
      <c r="BQ217" s="78" t="str">
        <f t="shared" si="29"/>
        <v>MAT COM INV FIS EMP ETI SST CUL DER</v>
      </c>
      <c r="BR217" s="78" t="str">
        <f t="shared" si="24"/>
        <v>COM INV FIS EMP ETI SST CUL DER</v>
      </c>
      <c r="BS217" s="78" t="str">
        <f t="shared" si="26"/>
        <v>COM INV FIS EMP ETI SST CUL</v>
      </c>
      <c r="BT217" s="78" t="e">
        <f>VLOOKUP(A217,[2]Hoja1!$A$2:$B$123,2,FALSE)</f>
        <v>#N/A</v>
      </c>
      <c r="BW217" s="81">
        <f>VLOOKUP(A217,[2]PE04!$A$7:$A$328,1,FALSE)</f>
        <v>3336184</v>
      </c>
      <c r="BX217" s="81" t="str">
        <f>IFERROR(VLOOKUP( 5,[2]PE04!A142:G469,8,FALSE), "No encontrado")</f>
        <v>No encontrado</v>
      </c>
    </row>
    <row r="218" spans="1:76" ht="13.5" customHeight="1" x14ac:dyDescent="0.25">
      <c r="A218" s="70">
        <v>3336264</v>
      </c>
      <c r="B218" s="71" t="s">
        <v>245</v>
      </c>
      <c r="C218" s="71">
        <v>40</v>
      </c>
      <c r="D218" s="72" t="s">
        <v>392</v>
      </c>
      <c r="E218" s="73" t="s">
        <v>124</v>
      </c>
      <c r="F218" s="74">
        <f t="shared" si="27"/>
        <v>46566</v>
      </c>
      <c r="G218" s="73" t="s">
        <v>122</v>
      </c>
      <c r="K218" s="82" t="s">
        <v>393</v>
      </c>
      <c r="M218" s="82" t="s">
        <v>393</v>
      </c>
      <c r="P218" s="72" t="s">
        <v>393</v>
      </c>
      <c r="Q218" s="71" t="s">
        <v>394</v>
      </c>
      <c r="BA218" s="75" t="s">
        <v>242</v>
      </c>
      <c r="BB218" s="75" t="str">
        <f t="shared" si="28"/>
        <v>LAURA SOFIA PAEZ GALLO</v>
      </c>
      <c r="BI218" s="75" t="s">
        <v>198</v>
      </c>
      <c r="BJ218" s="75" t="s">
        <v>225</v>
      </c>
      <c r="BL218" s="75" t="s">
        <v>200</v>
      </c>
      <c r="BM218" s="75" t="s">
        <v>220</v>
      </c>
      <c r="BP218" s="73" t="s">
        <v>390</v>
      </c>
      <c r="BQ218" s="78" t="str">
        <f t="shared" si="29"/>
        <v>MAT COM TIC CUL SST INV ETI EMP DER</v>
      </c>
      <c r="BR218" s="78" t="str">
        <f t="shared" si="24"/>
        <v>MAT COM CUL SST INV ETI EMP DER</v>
      </c>
      <c r="BS218" s="78" t="str">
        <f t="shared" si="26"/>
        <v>COM CUL SST INV ETI EMP DER</v>
      </c>
      <c r="BT218" s="78" t="e">
        <f>VLOOKUP(A218,[2]Hoja1!$A$2:$B$123,2,FALSE)</f>
        <v>#N/A</v>
      </c>
      <c r="BW218" s="81">
        <f>VLOOKUP(A218,[2]PE04!$A$7:$A$328,1,FALSE)</f>
        <v>3336264</v>
      </c>
      <c r="BX218" s="81" t="str">
        <f>IFERROR(VLOOKUP( 5,[2]PE04!A143:G470,8,FALSE), "No encontrado")</f>
        <v>No encontrado</v>
      </c>
    </row>
    <row r="219" spans="1:76" ht="13.5" customHeight="1" x14ac:dyDescent="0.25">
      <c r="A219" s="70">
        <v>3336458</v>
      </c>
      <c r="B219" s="71" t="s">
        <v>245</v>
      </c>
      <c r="C219" s="71">
        <v>40</v>
      </c>
      <c r="D219" s="72" t="s">
        <v>101</v>
      </c>
      <c r="E219" s="73" t="s">
        <v>114</v>
      </c>
      <c r="F219" s="74">
        <f t="shared" si="27"/>
        <v>46566</v>
      </c>
      <c r="G219" s="73" t="s">
        <v>122</v>
      </c>
      <c r="K219" s="83" t="s">
        <v>403</v>
      </c>
      <c r="M219" s="83" t="s">
        <v>403</v>
      </c>
      <c r="P219" s="72" t="s">
        <v>403</v>
      </c>
      <c r="Q219" s="71" t="s">
        <v>397</v>
      </c>
      <c r="BI219" s="75" t="s">
        <v>198</v>
      </c>
      <c r="BJ219" s="75" t="s">
        <v>225</v>
      </c>
      <c r="BL219" s="75" t="s">
        <v>209</v>
      </c>
      <c r="BM219" s="75" t="s">
        <v>236</v>
      </c>
      <c r="BP219" s="73" t="s">
        <v>391</v>
      </c>
      <c r="BQ219" s="78" t="str">
        <f t="shared" si="29"/>
        <v>INV COM TIC MAT CIE DER ETI SST EMP CUL</v>
      </c>
      <c r="BR219" s="78" t="str">
        <f t="shared" si="24"/>
        <v>INV COM MAT CIE DER ETI SST EMP CUL</v>
      </c>
      <c r="BS219" s="78" t="str">
        <f t="shared" si="26"/>
        <v>INV COM MAT CIE DER ETI SST CUL</v>
      </c>
      <c r="BT219" s="78" t="e">
        <f>VLOOKUP(A219,[2]Hoja1!$A$2:$B$123,2,FALSE)</f>
        <v>#N/A</v>
      </c>
      <c r="BW219" s="81">
        <f>VLOOKUP(A219,[2]PE04!$A$7:$A$328,1,FALSE)</f>
        <v>3336458</v>
      </c>
      <c r="BX219" s="81" t="str">
        <f>IFERROR(VLOOKUP( 5,[2]PE04!A144:G471,8,FALSE), "No encontrado")</f>
        <v>No encontrado</v>
      </c>
    </row>
    <row r="220" spans="1:76" ht="13.5" customHeight="1" x14ac:dyDescent="0.25">
      <c r="A220" s="70">
        <v>3336459</v>
      </c>
      <c r="B220" s="71" t="s">
        <v>245</v>
      </c>
      <c r="C220" s="71">
        <v>47</v>
      </c>
      <c r="D220" s="72" t="s">
        <v>101</v>
      </c>
      <c r="E220" s="73" t="s">
        <v>114</v>
      </c>
      <c r="F220" s="74">
        <f t="shared" si="27"/>
        <v>46566</v>
      </c>
      <c r="G220" s="73" t="s">
        <v>122</v>
      </c>
      <c r="K220" s="82" t="s">
        <v>362</v>
      </c>
      <c r="M220" s="82" t="s">
        <v>362</v>
      </c>
      <c r="P220" s="72" t="s">
        <v>362</v>
      </c>
      <c r="Q220" s="71" t="s">
        <v>397</v>
      </c>
      <c r="BE220" s="75" t="s">
        <v>198</v>
      </c>
      <c r="BF220" s="75" t="s">
        <v>199</v>
      </c>
      <c r="BI220" s="75" t="s">
        <v>200</v>
      </c>
      <c r="BJ220" s="75" t="s">
        <v>214</v>
      </c>
      <c r="BL220" s="75" t="s">
        <v>209</v>
      </c>
      <c r="BM220" s="75" t="s">
        <v>236</v>
      </c>
      <c r="BP220" s="73" t="s">
        <v>391</v>
      </c>
      <c r="BQ220" s="78" t="str">
        <f t="shared" si="29"/>
        <v>INV COM MAT CIE DER ETI SST EMP CUL</v>
      </c>
      <c r="BR220" s="78" t="str">
        <f t="shared" si="24"/>
        <v>INV COM CIE DER ETI SST EMP CUL</v>
      </c>
      <c r="BS220" s="78" t="str">
        <f t="shared" si="26"/>
        <v>INV COM CIE DER ETI SST CUL</v>
      </c>
      <c r="BT220" s="78" t="e">
        <f>VLOOKUP(A220,[2]Hoja1!$A$2:$B$123,2,FALSE)</f>
        <v>#N/A</v>
      </c>
      <c r="BW220" s="81">
        <f>VLOOKUP(A220,[2]PE04!$A$7:$A$328,1,FALSE)</f>
        <v>3336459</v>
      </c>
      <c r="BX220" s="81" t="str">
        <f>IFERROR(VLOOKUP( 5,[2]PE04!A145:G472,8,FALSE), "No encontrado")</f>
        <v>No encontrado</v>
      </c>
    </row>
    <row r="221" spans="1:76" ht="13.5" customHeight="1" x14ac:dyDescent="0.25">
      <c r="A221" s="70">
        <v>3336460</v>
      </c>
      <c r="B221" s="71" t="s">
        <v>245</v>
      </c>
      <c r="C221" s="71">
        <v>42</v>
      </c>
      <c r="D221" s="72" t="s">
        <v>101</v>
      </c>
      <c r="E221" s="73" t="s">
        <v>114</v>
      </c>
      <c r="F221" s="74">
        <f t="shared" si="27"/>
        <v>46566</v>
      </c>
      <c r="G221" s="73" t="s">
        <v>122</v>
      </c>
      <c r="K221" s="84" t="s">
        <v>404</v>
      </c>
      <c r="M221" s="84" t="s">
        <v>404</v>
      </c>
      <c r="P221" s="72" t="s">
        <v>404</v>
      </c>
      <c r="Q221" s="71" t="s">
        <v>397</v>
      </c>
      <c r="BI221" s="75" t="s">
        <v>198</v>
      </c>
      <c r="BJ221" s="75" t="s">
        <v>225</v>
      </c>
      <c r="BL221" s="75" t="s">
        <v>209</v>
      </c>
      <c r="BM221" s="75" t="s">
        <v>236</v>
      </c>
      <c r="BP221" s="73" t="s">
        <v>391</v>
      </c>
      <c r="BQ221" s="78" t="str">
        <f t="shared" si="29"/>
        <v>INV COM TIC MAT CIE DER ETI SST EMP CUL</v>
      </c>
      <c r="BR221" s="78" t="str">
        <f t="shared" si="24"/>
        <v>INV COM MAT CIE DER ETI SST EMP CUL</v>
      </c>
      <c r="BS221" s="78" t="str">
        <f t="shared" si="26"/>
        <v>INV COM MAT CIE DER ETI SST CUL</v>
      </c>
      <c r="BT221" s="78" t="e">
        <f>VLOOKUP(A221,[2]Hoja1!$A$2:$B$123,2,FALSE)</f>
        <v>#N/A</v>
      </c>
      <c r="BW221" s="81">
        <f>VLOOKUP(A221,[2]PE04!$A$7:$A$328,1,FALSE)</f>
        <v>3336460</v>
      </c>
      <c r="BX221" s="81" t="str">
        <f>IFERROR(VLOOKUP( 5,[2]PE04!A146:G473,8,FALSE), "No encontrado")</f>
        <v>No encontrado</v>
      </c>
    </row>
    <row r="222" spans="1:76" ht="13.5" customHeight="1" x14ac:dyDescent="0.25">
      <c r="A222" s="70">
        <v>3336461</v>
      </c>
      <c r="B222" s="71" t="s">
        <v>245</v>
      </c>
      <c r="C222" s="71">
        <v>47</v>
      </c>
      <c r="D222" s="72" t="s">
        <v>101</v>
      </c>
      <c r="E222" s="73" t="s">
        <v>114</v>
      </c>
      <c r="F222" s="74">
        <f t="shared" si="27"/>
        <v>46566</v>
      </c>
      <c r="G222" s="73" t="s">
        <v>122</v>
      </c>
      <c r="K222" s="82" t="s">
        <v>210</v>
      </c>
      <c r="M222" s="82" t="s">
        <v>210</v>
      </c>
      <c r="P222" s="72" t="s">
        <v>211</v>
      </c>
      <c r="Q222" s="71" t="s">
        <v>397</v>
      </c>
      <c r="BI222" s="75" t="s">
        <v>198</v>
      </c>
      <c r="BJ222" s="75" t="s">
        <v>199</v>
      </c>
      <c r="BL222" s="75" t="s">
        <v>200</v>
      </c>
      <c r="BM222" s="75" t="s">
        <v>214</v>
      </c>
      <c r="BP222" s="73" t="s">
        <v>391</v>
      </c>
      <c r="BQ222" s="78" t="str">
        <f t="shared" si="29"/>
        <v>INV COM TIC MAT CIE DER ETI SST EMP CUL</v>
      </c>
      <c r="BR222" s="78" t="str">
        <f t="shared" si="24"/>
        <v>INV COM MAT CIE DER ETI SST EMP CUL</v>
      </c>
      <c r="BS222" s="78" t="str">
        <f t="shared" si="26"/>
        <v>INV COM CIE DER ETI SST EMP CUL</v>
      </c>
      <c r="BT222" s="78" t="e">
        <f>VLOOKUP(A222,[2]Hoja1!$A$2:$B$123,2,FALSE)</f>
        <v>#N/A</v>
      </c>
      <c r="BW222" s="81">
        <f>VLOOKUP(A222,[2]PE04!$A$7:$A$328,1,FALSE)</f>
        <v>3336461</v>
      </c>
      <c r="BX222" s="81" t="str">
        <f>IFERROR(VLOOKUP( 5,[2]PE04!A147:G474,8,FALSE), "No encontrado")</f>
        <v>No encontrado</v>
      </c>
    </row>
    <row r="223" spans="1:76" ht="13.5" customHeight="1" x14ac:dyDescent="0.25">
      <c r="A223" s="70">
        <v>3336462</v>
      </c>
      <c r="B223" s="71" t="s">
        <v>245</v>
      </c>
      <c r="C223" s="71">
        <v>50</v>
      </c>
      <c r="D223" s="72" t="s">
        <v>101</v>
      </c>
      <c r="E223" s="73" t="s">
        <v>114</v>
      </c>
      <c r="F223" s="74">
        <f t="shared" si="27"/>
        <v>46566</v>
      </c>
      <c r="G223" s="73" t="s">
        <v>122</v>
      </c>
      <c r="K223" s="82" t="s">
        <v>210</v>
      </c>
      <c r="M223" s="82" t="s">
        <v>210</v>
      </c>
      <c r="P223" s="72" t="s">
        <v>377</v>
      </c>
      <c r="Q223" s="71" t="s">
        <v>397</v>
      </c>
      <c r="BE223" s="75" t="s">
        <v>198</v>
      </c>
      <c r="BF223" s="75" t="s">
        <v>299</v>
      </c>
      <c r="BI223" s="75" t="s">
        <v>200</v>
      </c>
      <c r="BJ223" s="75" t="s">
        <v>214</v>
      </c>
      <c r="BL223" s="75" t="s">
        <v>208</v>
      </c>
      <c r="BM223" s="75" t="s">
        <v>547</v>
      </c>
      <c r="BP223" s="73" t="s">
        <v>391</v>
      </c>
      <c r="BQ223" s="78" t="str">
        <f t="shared" si="29"/>
        <v>INV COM MAT CIE DER ETI SST EMP CUL</v>
      </c>
      <c r="BR223" s="78" t="str">
        <f t="shared" si="24"/>
        <v>INV COM CIE DER ETI SST EMP CUL</v>
      </c>
      <c r="BS223" s="78" t="str">
        <f t="shared" si="26"/>
        <v>INV COM CIE ETI SST EMP CUL</v>
      </c>
      <c r="BT223" s="78" t="e">
        <f>VLOOKUP(A223,[2]Hoja1!$A$2:$B$123,2,FALSE)</f>
        <v>#N/A</v>
      </c>
      <c r="BW223" s="81">
        <f>VLOOKUP(A223,[2]PE04!$A$7:$A$328,1,FALSE)</f>
        <v>3336462</v>
      </c>
      <c r="BX223" s="81" t="str">
        <f>IFERROR(VLOOKUP( 5,[2]PE04!A148:G475,8,FALSE), "No encontrado")</f>
        <v>No encontrado</v>
      </c>
    </row>
    <row r="224" spans="1:76" ht="13.5" customHeight="1" x14ac:dyDescent="0.25">
      <c r="A224" s="70">
        <v>3336463</v>
      </c>
      <c r="B224" s="71" t="s">
        <v>245</v>
      </c>
      <c r="C224" s="71">
        <v>45</v>
      </c>
      <c r="D224" s="72" t="s">
        <v>101</v>
      </c>
      <c r="E224" s="73" t="s">
        <v>114</v>
      </c>
      <c r="F224" s="74">
        <f t="shared" si="27"/>
        <v>46566</v>
      </c>
      <c r="G224" s="73" t="s">
        <v>122</v>
      </c>
      <c r="K224" s="82" t="s">
        <v>362</v>
      </c>
      <c r="M224" s="82" t="s">
        <v>362</v>
      </c>
      <c r="P224" s="72" t="s">
        <v>362</v>
      </c>
      <c r="Q224" s="71" t="s">
        <v>397</v>
      </c>
      <c r="BE224" s="75" t="s">
        <v>198</v>
      </c>
      <c r="BF224" s="75" t="s">
        <v>299</v>
      </c>
      <c r="BI224" s="75" t="s">
        <v>200</v>
      </c>
      <c r="BJ224" s="75" t="s">
        <v>214</v>
      </c>
      <c r="BL224" s="75" t="s">
        <v>196</v>
      </c>
      <c r="BP224" s="73" t="s">
        <v>391</v>
      </c>
      <c r="BQ224" s="78" t="str">
        <f t="shared" si="29"/>
        <v>INV COM MAT CIE DER ETI SST EMP CUL</v>
      </c>
      <c r="BR224" s="78" t="str">
        <f t="shared" si="24"/>
        <v>INV COM CIE DER ETI SST EMP CUL</v>
      </c>
      <c r="BS224" s="78" t="str">
        <f t="shared" si="26"/>
        <v>INV CIE DER ETI SST EMP CUL</v>
      </c>
      <c r="BT224" s="78" t="e">
        <f>VLOOKUP(A224,[2]Hoja1!$A$2:$B$123,2,FALSE)</f>
        <v>#N/A</v>
      </c>
      <c r="BW224" s="81">
        <f>VLOOKUP(A224,[2]PE04!$A$7:$A$328,1,FALSE)</f>
        <v>3336463</v>
      </c>
      <c r="BX224" s="81" t="str">
        <f>IFERROR(VLOOKUP( 5,[2]PE04!A149:G476,8,FALSE), "No encontrado")</f>
        <v>No encontrado</v>
      </c>
    </row>
    <row r="225" spans="1:76" ht="13.5" customHeight="1" x14ac:dyDescent="0.25">
      <c r="A225" s="70">
        <v>3336464</v>
      </c>
      <c r="B225" s="71" t="s">
        <v>245</v>
      </c>
      <c r="C225" s="71">
        <v>49</v>
      </c>
      <c r="D225" s="72" t="s">
        <v>101</v>
      </c>
      <c r="E225" s="73" t="s">
        <v>114</v>
      </c>
      <c r="F225" s="74">
        <f t="shared" si="27"/>
        <v>46566</v>
      </c>
      <c r="G225" s="73" t="s">
        <v>122</v>
      </c>
      <c r="K225" s="82" t="s">
        <v>210</v>
      </c>
      <c r="M225" s="82" t="s">
        <v>210</v>
      </c>
      <c r="P225" s="72" t="s">
        <v>579</v>
      </c>
      <c r="Q225" s="71" t="s">
        <v>397</v>
      </c>
      <c r="BI225" s="75" t="s">
        <v>198</v>
      </c>
      <c r="BJ225" s="75" t="s">
        <v>199</v>
      </c>
      <c r="BL225" s="75" t="s">
        <v>200</v>
      </c>
      <c r="BM225" s="75" t="s">
        <v>214</v>
      </c>
      <c r="BP225" s="73" t="s">
        <v>391</v>
      </c>
      <c r="BQ225" s="78" t="str">
        <f t="shared" si="29"/>
        <v>INV COM TIC MAT CIE DER ETI SST EMP CUL</v>
      </c>
      <c r="BR225" s="78" t="str">
        <f t="shared" si="24"/>
        <v>INV COM MAT CIE DER ETI SST EMP CUL</v>
      </c>
      <c r="BS225" s="78" t="str">
        <f t="shared" si="26"/>
        <v>INV COM CIE DER ETI SST EMP CUL</v>
      </c>
      <c r="BT225" s="78" t="e">
        <f>VLOOKUP(A225,[2]Hoja1!$A$2:$B$123,2,FALSE)</f>
        <v>#N/A</v>
      </c>
      <c r="BW225" s="81">
        <f>VLOOKUP(A225,[2]PE04!$A$7:$A$328,1,FALSE)</f>
        <v>3336464</v>
      </c>
      <c r="BX225" s="81" t="str">
        <f>IFERROR(VLOOKUP( 5,[2]PE04!A150:G477,8,FALSE), "No encontrado")</f>
        <v>No encontrado</v>
      </c>
    </row>
    <row r="226" spans="1:76" ht="13.5" customHeight="1" x14ac:dyDescent="0.25">
      <c r="A226" s="70">
        <v>3336465</v>
      </c>
      <c r="B226" s="71" t="s">
        <v>245</v>
      </c>
      <c r="C226" s="71">
        <v>40</v>
      </c>
      <c r="D226" s="72" t="s">
        <v>101</v>
      </c>
      <c r="E226" s="73" t="s">
        <v>114</v>
      </c>
      <c r="F226" s="74">
        <f t="shared" si="27"/>
        <v>46566</v>
      </c>
      <c r="G226" s="73" t="s">
        <v>122</v>
      </c>
      <c r="K226" s="83" t="s">
        <v>403</v>
      </c>
      <c r="M226" s="83" t="s">
        <v>403</v>
      </c>
      <c r="P226" s="72" t="s">
        <v>403</v>
      </c>
      <c r="Q226" s="71" t="s">
        <v>397</v>
      </c>
      <c r="BI226" s="75" t="s">
        <v>198</v>
      </c>
      <c r="BJ226" s="75" t="s">
        <v>199</v>
      </c>
      <c r="BL226" s="75" t="s">
        <v>200</v>
      </c>
      <c r="BM226" s="75" t="s">
        <v>214</v>
      </c>
      <c r="BP226" s="73" t="s">
        <v>391</v>
      </c>
      <c r="BQ226" s="78" t="str">
        <f t="shared" si="29"/>
        <v>INV COM TIC MAT CIE DER ETI SST EMP CUL</v>
      </c>
      <c r="BR226" s="78" t="str">
        <f t="shared" si="24"/>
        <v>INV COM MAT CIE DER ETI SST EMP CUL</v>
      </c>
      <c r="BS226" s="78" t="str">
        <f t="shared" si="26"/>
        <v>INV COM CIE DER ETI SST EMP CUL</v>
      </c>
      <c r="BT226" s="78" t="e">
        <f>VLOOKUP(A226,[2]Hoja1!$A$2:$B$123,2,FALSE)</f>
        <v>#N/A</v>
      </c>
      <c r="BW226" s="81">
        <f>VLOOKUP(A226,[2]PE04!$A$7:$A$328,1,FALSE)</f>
        <v>3336465</v>
      </c>
      <c r="BX226" s="81" t="str">
        <f>IFERROR(VLOOKUP( 5,[2]PE04!A151:G478,8,FALSE), "No encontrado")</f>
        <v>No encontrado</v>
      </c>
    </row>
    <row r="227" spans="1:76" ht="13.5" customHeight="1" x14ac:dyDescent="0.25">
      <c r="A227" s="70">
        <v>3336466</v>
      </c>
      <c r="B227" s="71" t="s">
        <v>245</v>
      </c>
      <c r="C227" s="71">
        <v>42</v>
      </c>
      <c r="D227" s="72" t="s">
        <v>101</v>
      </c>
      <c r="E227" s="73" t="s">
        <v>114</v>
      </c>
      <c r="F227" s="74">
        <f t="shared" si="27"/>
        <v>46566</v>
      </c>
      <c r="G227" s="73" t="s">
        <v>122</v>
      </c>
      <c r="K227" s="82" t="s">
        <v>306</v>
      </c>
      <c r="M227" s="82" t="s">
        <v>306</v>
      </c>
      <c r="P227" s="72" t="s">
        <v>567</v>
      </c>
      <c r="Q227" s="71" t="s">
        <v>397</v>
      </c>
      <c r="BI227" s="75" t="s">
        <v>198</v>
      </c>
      <c r="BJ227" s="75" t="s">
        <v>199</v>
      </c>
      <c r="BL227" s="75" t="s">
        <v>200</v>
      </c>
      <c r="BM227" s="75" t="s">
        <v>220</v>
      </c>
      <c r="BP227" s="73" t="s">
        <v>391</v>
      </c>
      <c r="BQ227" s="78" t="str">
        <f t="shared" si="29"/>
        <v>INV COM TIC MAT CIE DER ETI SST EMP CUL</v>
      </c>
      <c r="BR227" s="78" t="str">
        <f t="shared" si="24"/>
        <v>INV COM MAT CIE DER ETI SST EMP CUL</v>
      </c>
      <c r="BS227" s="78" t="str">
        <f t="shared" si="26"/>
        <v>INV COM CIE DER ETI SST EMP CUL</v>
      </c>
      <c r="BT227" s="78" t="e">
        <f>VLOOKUP(A227,[2]Hoja1!$A$2:$B$123,2,FALSE)</f>
        <v>#N/A</v>
      </c>
      <c r="BW227" s="81">
        <f>VLOOKUP(A227,[2]PE04!$A$7:$A$328,1,FALSE)</f>
        <v>3336466</v>
      </c>
      <c r="BX227" s="81" t="str">
        <f>IFERROR(VLOOKUP( 5,[2]PE04!A152:G479,8,FALSE), "No encontrado")</f>
        <v>No encontrado</v>
      </c>
    </row>
    <row r="228" spans="1:76" ht="13.5" customHeight="1" x14ac:dyDescent="0.25">
      <c r="A228" s="70">
        <v>3336467</v>
      </c>
      <c r="B228" s="71" t="s">
        <v>245</v>
      </c>
      <c r="C228" s="71">
        <v>37</v>
      </c>
      <c r="D228" s="72" t="s">
        <v>101</v>
      </c>
      <c r="E228" s="73" t="s">
        <v>114</v>
      </c>
      <c r="F228" s="74">
        <f t="shared" si="27"/>
        <v>46566</v>
      </c>
      <c r="G228" s="73" t="s">
        <v>122</v>
      </c>
      <c r="K228" s="82" t="s">
        <v>340</v>
      </c>
      <c r="M228" s="82" t="s">
        <v>340</v>
      </c>
      <c r="P228" s="72" t="s">
        <v>315</v>
      </c>
      <c r="Q228" s="71" t="s">
        <v>397</v>
      </c>
      <c r="BE228" s="75" t="s">
        <v>200</v>
      </c>
      <c r="BF228" s="75" t="s">
        <v>214</v>
      </c>
      <c r="BI228" s="75" t="s">
        <v>198</v>
      </c>
      <c r="BJ228" s="75" t="s">
        <v>199</v>
      </c>
      <c r="BL228" s="75" t="s">
        <v>204</v>
      </c>
      <c r="BM228" s="75" t="s">
        <v>221</v>
      </c>
      <c r="BP228" s="73" t="s">
        <v>391</v>
      </c>
      <c r="BQ228" s="78" t="str">
        <f t="shared" si="29"/>
        <v>INV COM TIC CIE DER ETI SST EMP CUL</v>
      </c>
      <c r="BR228" s="78" t="str">
        <f t="shared" si="24"/>
        <v>INV COM CIE DER ETI SST EMP CUL</v>
      </c>
      <c r="BS228" s="78" t="str">
        <f t="shared" si="26"/>
        <v>INV COM CIE DER SST EMP CUL</v>
      </c>
      <c r="BT228" s="78" t="e">
        <f>VLOOKUP(A228,[2]Hoja1!$A$2:$B$123,2,FALSE)</f>
        <v>#N/A</v>
      </c>
      <c r="BW228" s="81">
        <f>VLOOKUP(A228,[2]PE04!$A$7:$A$328,1,FALSE)</f>
        <v>3336467</v>
      </c>
      <c r="BX228" s="81" t="str">
        <f>IFERROR(VLOOKUP( 5,[2]PE04!A153:G480,8,FALSE), "No encontrado")</f>
        <v>No encontrado</v>
      </c>
    </row>
    <row r="229" spans="1:76" ht="13.5" customHeight="1" x14ac:dyDescent="0.25">
      <c r="A229" s="70">
        <v>3336468</v>
      </c>
      <c r="B229" s="71" t="s">
        <v>245</v>
      </c>
      <c r="C229" s="71">
        <v>51</v>
      </c>
      <c r="D229" s="72" t="s">
        <v>101</v>
      </c>
      <c r="E229" s="73" t="s">
        <v>114</v>
      </c>
      <c r="F229" s="74">
        <f t="shared" si="27"/>
        <v>46566</v>
      </c>
      <c r="G229" s="73" t="s">
        <v>122</v>
      </c>
      <c r="K229" s="84" t="s">
        <v>404</v>
      </c>
      <c r="M229" s="84" t="s">
        <v>404</v>
      </c>
      <c r="P229" s="72" t="s">
        <v>404</v>
      </c>
      <c r="Q229" s="71" t="s">
        <v>397</v>
      </c>
      <c r="BI229" s="75" t="s">
        <v>198</v>
      </c>
      <c r="BJ229" s="75" t="s">
        <v>199</v>
      </c>
      <c r="BL229" s="75" t="s">
        <v>196</v>
      </c>
      <c r="BP229" s="73" t="s">
        <v>391</v>
      </c>
      <c r="BQ229" s="78" t="str">
        <f t="shared" si="29"/>
        <v>INV COM TIC MAT CIE DER ETI SST EMP CUL</v>
      </c>
      <c r="BR229" s="78" t="str">
        <f t="shared" si="24"/>
        <v>INV COM MAT CIE DER ETI SST EMP CUL</v>
      </c>
      <c r="BS229" s="78" t="str">
        <f t="shared" si="26"/>
        <v>INV MAT CIE DER ETI SST EMP CUL</v>
      </c>
      <c r="BT229" s="78" t="e">
        <f>VLOOKUP(A229,[2]Hoja1!$A$2:$B$123,2,FALSE)</f>
        <v>#N/A</v>
      </c>
      <c r="BW229" s="81">
        <f>VLOOKUP(A229,[2]PE04!$A$7:$A$328,1,FALSE)</f>
        <v>3336468</v>
      </c>
      <c r="BX229" s="81" t="str">
        <f>IFERROR(VLOOKUP( 5,[2]PE04!A154:G481,8,FALSE), "No encontrado")</f>
        <v>No encontrado</v>
      </c>
    </row>
    <row r="230" spans="1:76" ht="13.5" customHeight="1" x14ac:dyDescent="0.25">
      <c r="A230" s="70">
        <v>3336469</v>
      </c>
      <c r="B230" s="71" t="s">
        <v>245</v>
      </c>
      <c r="C230" s="71">
        <v>44</v>
      </c>
      <c r="D230" s="72" t="s">
        <v>101</v>
      </c>
      <c r="E230" s="73" t="s">
        <v>114</v>
      </c>
      <c r="F230" s="74">
        <f t="shared" si="27"/>
        <v>46566</v>
      </c>
      <c r="G230" s="73" t="s">
        <v>122</v>
      </c>
      <c r="K230" s="82" t="s">
        <v>340</v>
      </c>
      <c r="M230" s="82" t="s">
        <v>340</v>
      </c>
      <c r="P230" s="72" t="s">
        <v>315</v>
      </c>
      <c r="Q230" s="71" t="s">
        <v>397</v>
      </c>
      <c r="BI230" s="75" t="s">
        <v>198</v>
      </c>
      <c r="BJ230" s="75" t="s">
        <v>253</v>
      </c>
      <c r="BL230" s="75" t="s">
        <v>196</v>
      </c>
      <c r="BP230" s="73" t="s">
        <v>391</v>
      </c>
      <c r="BQ230" s="78" t="str">
        <f t="shared" si="29"/>
        <v>INV COM TIC MAT CIE DER ETI SST EMP CUL</v>
      </c>
      <c r="BR230" s="78" t="str">
        <f t="shared" si="24"/>
        <v>INV COM MAT CIE DER ETI SST EMP CUL</v>
      </c>
      <c r="BS230" s="78" t="str">
        <f t="shared" si="26"/>
        <v>INV MAT CIE DER ETI SST EMP CUL</v>
      </c>
      <c r="BT230" s="78" t="e">
        <f>VLOOKUP(A230,[2]Hoja1!$A$2:$B$123,2,FALSE)</f>
        <v>#N/A</v>
      </c>
      <c r="BW230" s="81">
        <f>VLOOKUP(A230,[2]PE04!$A$7:$A$328,1,FALSE)</f>
        <v>3336469</v>
      </c>
      <c r="BX230" s="81" t="str">
        <f>IFERROR(VLOOKUP( 5,[2]PE04!A155:G482,8,FALSE), "No encontrado")</f>
        <v>No encontrado</v>
      </c>
    </row>
    <row r="231" spans="1:76" ht="13.5" customHeight="1" x14ac:dyDescent="0.25">
      <c r="A231" s="70">
        <v>3336470</v>
      </c>
      <c r="B231" s="71" t="s">
        <v>245</v>
      </c>
      <c r="C231" s="71">
        <v>45</v>
      </c>
      <c r="D231" s="72" t="s">
        <v>101</v>
      </c>
      <c r="E231" s="73" t="s">
        <v>114</v>
      </c>
      <c r="F231" s="74">
        <f t="shared" si="27"/>
        <v>46566</v>
      </c>
      <c r="G231" s="73" t="s">
        <v>122</v>
      </c>
      <c r="K231" s="83" t="s">
        <v>403</v>
      </c>
      <c r="M231" s="83" t="s">
        <v>403</v>
      </c>
      <c r="P231" s="72" t="s">
        <v>403</v>
      </c>
      <c r="Q231" s="71" t="s">
        <v>397</v>
      </c>
      <c r="BI231" s="75" t="s">
        <v>198</v>
      </c>
      <c r="BJ231" s="75" t="s">
        <v>253</v>
      </c>
      <c r="BL231" s="75" t="s">
        <v>196</v>
      </c>
      <c r="BP231" s="73" t="s">
        <v>391</v>
      </c>
      <c r="BQ231" s="78" t="str">
        <f t="shared" si="29"/>
        <v>INV COM TIC MAT CIE DER ETI SST EMP CUL</v>
      </c>
      <c r="BR231" s="78" t="str">
        <f t="shared" ref="BR231:BR256" si="30">TRIM(SUBSTITUTE(SUBSTITUTE(SUBSTITUTE(SUBSTITUTE(SUBSTITUTE(SUBSTITUTE(SUBSTITUTE(SUBSTITUTE(SUBSTITUTE(SUBSTITUTE(SUBSTITUTE(SUBSTITUTE(SUBSTITUTE(SUBSTITUTE(SUBSTITUTE(SUBSTITUTE(SUBSTITUTE(Q231, Y231, ""), AA231, ""), AC231, ""), AE231, ""), AG231, ""), AK231, ""), AO231, ""), AQ231, ""), AS231, ""), AU231, ""), AW231, ""), AY231, ""), BA231, ""), BC231, ""), BE231, ""), BG231, ""),BI231, ""))</f>
        <v>INV COM MAT CIE DER ETI SST EMP CUL</v>
      </c>
      <c r="BS231" s="78" t="str">
        <f t="shared" si="26"/>
        <v>INV MAT CIE DER ETI SST EMP CUL</v>
      </c>
      <c r="BT231" s="78" t="e">
        <f>VLOOKUP(A231,[2]Hoja1!$A$2:$B$123,2,FALSE)</f>
        <v>#N/A</v>
      </c>
      <c r="BW231" s="81">
        <f>VLOOKUP(A231,[2]PE04!$A$7:$A$328,1,FALSE)</f>
        <v>3336470</v>
      </c>
      <c r="BX231" s="81" t="str">
        <f>IFERROR(VLOOKUP( 5,[2]PE04!A156:G483,8,FALSE), "No encontrado")</f>
        <v>No encontrado</v>
      </c>
    </row>
    <row r="232" spans="1:76" ht="13.5" customHeight="1" x14ac:dyDescent="0.25">
      <c r="A232" s="70">
        <v>3388637</v>
      </c>
      <c r="B232" s="71" t="s">
        <v>245</v>
      </c>
      <c r="C232" s="71">
        <v>52</v>
      </c>
      <c r="D232" s="72" t="s">
        <v>123</v>
      </c>
      <c r="E232" s="73">
        <v>46000</v>
      </c>
      <c r="F232" s="74">
        <f t="shared" si="27"/>
        <v>46638</v>
      </c>
      <c r="G232" s="73">
        <v>46820</v>
      </c>
      <c r="M232" s="82" t="s">
        <v>218</v>
      </c>
      <c r="P232" s="72" t="s">
        <v>568</v>
      </c>
      <c r="Q232" s="71" t="s">
        <v>401</v>
      </c>
      <c r="BI232" s="75" t="s">
        <v>198</v>
      </c>
      <c r="BJ232" s="75" t="s">
        <v>253</v>
      </c>
      <c r="BL232" s="116" t="s">
        <v>200</v>
      </c>
      <c r="BM232" s="75" t="s">
        <v>220</v>
      </c>
      <c r="BP232" s="73" t="s">
        <v>391</v>
      </c>
      <c r="BQ232" s="78" t="str">
        <f t="shared" si="29"/>
        <v>TIC COM MAT ETI DER CUL EMP INV SST</v>
      </c>
      <c r="BR232" s="78" t="str">
        <f t="shared" si="30"/>
        <v>COM MAT ETI DER CUL EMP INV SST</v>
      </c>
      <c r="BS232" s="78" t="str">
        <f t="shared" si="26"/>
        <v>COM ETI DER CUL EMP INV SST</v>
      </c>
      <c r="BT232" s="78" t="e">
        <f>VLOOKUP(A232,[2]Hoja1!$A$2:$B$123,2,FALSE)</f>
        <v>#N/A</v>
      </c>
      <c r="BW232" s="81" t="e">
        <f>VLOOKUP(A232,[2]PE04!$A$7:$A$328,1,FALSE)</f>
        <v>#N/A</v>
      </c>
    </row>
    <row r="233" spans="1:76" ht="13.5" customHeight="1" x14ac:dyDescent="0.25">
      <c r="A233" s="70">
        <v>3388638</v>
      </c>
      <c r="B233" s="71" t="s">
        <v>245</v>
      </c>
      <c r="C233" s="71">
        <v>59</v>
      </c>
      <c r="D233" s="72" t="s">
        <v>123</v>
      </c>
      <c r="E233" s="73">
        <v>46000</v>
      </c>
      <c r="F233" s="74">
        <f t="shared" si="27"/>
        <v>46638</v>
      </c>
      <c r="G233" s="73">
        <v>46820</v>
      </c>
      <c r="M233" s="82" t="s">
        <v>218</v>
      </c>
      <c r="P233" s="72" t="s">
        <v>568</v>
      </c>
      <c r="Q233" s="71" t="s">
        <v>401</v>
      </c>
      <c r="BI233" s="75" t="s">
        <v>198</v>
      </c>
      <c r="BJ233" s="75" t="s">
        <v>253</v>
      </c>
      <c r="BL233" s="116" t="s">
        <v>200</v>
      </c>
      <c r="BM233" s="75" t="s">
        <v>201</v>
      </c>
      <c r="BP233" s="73" t="s">
        <v>391</v>
      </c>
      <c r="BQ233" s="78" t="str">
        <f t="shared" si="29"/>
        <v>TIC COM MAT ETI DER CUL EMP INV SST</v>
      </c>
      <c r="BR233" s="78" t="str">
        <f t="shared" si="30"/>
        <v>COM MAT ETI DER CUL EMP INV SST</v>
      </c>
      <c r="BS233" s="78" t="str">
        <f t="shared" si="26"/>
        <v>COM ETI DER CUL EMP INV SST</v>
      </c>
      <c r="BT233" s="78" t="e">
        <f>VLOOKUP(A233,[2]Hoja1!$A$2:$B$123,2,FALSE)</f>
        <v>#N/A</v>
      </c>
      <c r="BW233" s="81" t="e">
        <f>VLOOKUP(A233,[2]PE04!$A$7:$A$328,1,FALSE)</f>
        <v>#N/A</v>
      </c>
    </row>
    <row r="234" spans="1:76" ht="13.5" customHeight="1" x14ac:dyDescent="0.25">
      <c r="A234" s="70">
        <v>3388639</v>
      </c>
      <c r="B234" s="71" t="s">
        <v>245</v>
      </c>
      <c r="C234" s="71">
        <v>55</v>
      </c>
      <c r="D234" s="72" t="s">
        <v>123</v>
      </c>
      <c r="E234" s="73">
        <v>46000</v>
      </c>
      <c r="F234" s="74">
        <f t="shared" si="27"/>
        <v>46638</v>
      </c>
      <c r="G234" s="73">
        <v>46820</v>
      </c>
      <c r="M234" s="82" t="s">
        <v>218</v>
      </c>
      <c r="P234" s="72" t="s">
        <v>568</v>
      </c>
      <c r="Q234" s="71" t="s">
        <v>401</v>
      </c>
      <c r="BI234" s="75" t="s">
        <v>198</v>
      </c>
      <c r="BJ234" s="75" t="s">
        <v>253</v>
      </c>
      <c r="BL234" s="116" t="s">
        <v>200</v>
      </c>
      <c r="BM234" s="75" t="s">
        <v>201</v>
      </c>
      <c r="BP234" s="73" t="s">
        <v>391</v>
      </c>
      <c r="BQ234" s="78" t="str">
        <f t="shared" si="29"/>
        <v>TIC COM MAT ETI DER CUL EMP INV SST</v>
      </c>
      <c r="BR234" s="78" t="str">
        <f t="shared" si="30"/>
        <v>COM MAT ETI DER CUL EMP INV SST</v>
      </c>
      <c r="BS234" s="78" t="str">
        <f t="shared" si="26"/>
        <v>COM ETI DER CUL EMP INV SST</v>
      </c>
      <c r="BT234" s="78" t="e">
        <f>VLOOKUP(A234,[2]Hoja1!$A$2:$B$123,2,FALSE)</f>
        <v>#N/A</v>
      </c>
      <c r="BW234" s="81" t="e">
        <f>VLOOKUP(A234,[2]PE04!$A$7:$A$328,1,FALSE)</f>
        <v>#N/A</v>
      </c>
    </row>
    <row r="235" spans="1:76" ht="13.5" customHeight="1" x14ac:dyDescent="0.25">
      <c r="A235" s="70">
        <v>3388640</v>
      </c>
      <c r="B235" s="71" t="s">
        <v>245</v>
      </c>
      <c r="C235" s="71">
        <v>52</v>
      </c>
      <c r="D235" s="72" t="s">
        <v>123</v>
      </c>
      <c r="E235" s="73">
        <v>46000</v>
      </c>
      <c r="F235" s="74">
        <f t="shared" si="27"/>
        <v>46638</v>
      </c>
      <c r="G235" s="73">
        <v>46820</v>
      </c>
      <c r="M235" s="82" t="s">
        <v>218</v>
      </c>
      <c r="P235" s="72" t="s">
        <v>191</v>
      </c>
      <c r="Q235" s="71" t="s">
        <v>401</v>
      </c>
      <c r="BI235" s="75" t="s">
        <v>198</v>
      </c>
      <c r="BJ235" s="75" t="s">
        <v>557</v>
      </c>
      <c r="BL235" s="75" t="s">
        <v>200</v>
      </c>
      <c r="BM235" s="75" t="s">
        <v>201</v>
      </c>
      <c r="BP235" s="73" t="s">
        <v>391</v>
      </c>
      <c r="BQ235" s="78" t="str">
        <f t="shared" si="29"/>
        <v>TIC COM MAT ETI DER CUL EMP INV SST</v>
      </c>
      <c r="BR235" s="78" t="str">
        <f t="shared" si="30"/>
        <v>COM MAT ETI DER CUL EMP INV SST</v>
      </c>
      <c r="BS235" s="78" t="str">
        <f t="shared" si="26"/>
        <v>COM ETI DER CUL EMP INV SST</v>
      </c>
      <c r="BT235" s="78" t="e">
        <f>VLOOKUP(A235,[2]Hoja1!$A$2:$B$123,2,FALSE)</f>
        <v>#N/A</v>
      </c>
      <c r="BW235" s="81" t="e">
        <f>VLOOKUP(A235,[2]PE04!$A$7:$A$328,1,FALSE)</f>
        <v>#N/A</v>
      </c>
    </row>
    <row r="236" spans="1:76" ht="13.5" customHeight="1" x14ac:dyDescent="0.25">
      <c r="A236" s="70">
        <v>3388641</v>
      </c>
      <c r="B236" s="71" t="s">
        <v>245</v>
      </c>
      <c r="C236" s="71">
        <v>50</v>
      </c>
      <c r="D236" s="72" t="s">
        <v>123</v>
      </c>
      <c r="E236" s="73">
        <v>46000</v>
      </c>
      <c r="F236" s="74">
        <f t="shared" si="27"/>
        <v>46638</v>
      </c>
      <c r="G236" s="73">
        <v>46820</v>
      </c>
      <c r="M236" s="82" t="s">
        <v>218</v>
      </c>
      <c r="P236" s="72" t="s">
        <v>191</v>
      </c>
      <c r="Q236" s="71" t="s">
        <v>401</v>
      </c>
      <c r="BI236" s="75" t="s">
        <v>198</v>
      </c>
      <c r="BJ236" s="75" t="s">
        <v>557</v>
      </c>
      <c r="BL236" s="75" t="s">
        <v>196</v>
      </c>
      <c r="BP236" s="73" t="s">
        <v>391</v>
      </c>
      <c r="BQ236" s="78" t="str">
        <f t="shared" si="29"/>
        <v>TIC COM MAT ETI DER CUL EMP INV SST</v>
      </c>
      <c r="BR236" s="78" t="str">
        <f t="shared" si="30"/>
        <v>COM MAT ETI DER CUL EMP INV SST</v>
      </c>
      <c r="BS236" s="78" t="str">
        <f t="shared" si="26"/>
        <v>MAT ETI DER CUL EMP INV SST</v>
      </c>
      <c r="BT236" s="78" t="e">
        <f>VLOOKUP(A236,[2]Hoja1!$A$2:$B$123,2,FALSE)</f>
        <v>#N/A</v>
      </c>
      <c r="BW236" s="81" t="e">
        <f>VLOOKUP(A236,[2]PE04!$A$7:$A$328,1,FALSE)</f>
        <v>#N/A</v>
      </c>
    </row>
    <row r="237" spans="1:76" ht="13.5" customHeight="1" x14ac:dyDescent="0.25">
      <c r="A237" s="70">
        <v>3388642</v>
      </c>
      <c r="B237" s="71" t="s">
        <v>245</v>
      </c>
      <c r="C237" s="71">
        <v>52</v>
      </c>
      <c r="D237" s="72" t="s">
        <v>123</v>
      </c>
      <c r="E237" s="73">
        <v>46000</v>
      </c>
      <c r="F237" s="74">
        <f t="shared" si="27"/>
        <v>46638</v>
      </c>
      <c r="G237" s="73">
        <v>46820</v>
      </c>
      <c r="M237" s="82" t="s">
        <v>218</v>
      </c>
      <c r="P237" s="72" t="s">
        <v>191</v>
      </c>
      <c r="Q237" s="71" t="s">
        <v>401</v>
      </c>
      <c r="BI237" s="75" t="s">
        <v>198</v>
      </c>
      <c r="BJ237" s="75" t="s">
        <v>557</v>
      </c>
      <c r="BL237" s="75" t="s">
        <v>208</v>
      </c>
      <c r="BM237" s="75" t="s">
        <v>547</v>
      </c>
      <c r="BP237" s="73" t="s">
        <v>391</v>
      </c>
      <c r="BQ237" s="78" t="str">
        <f t="shared" si="29"/>
        <v>TIC COM MAT ETI DER CUL EMP INV SST</v>
      </c>
      <c r="BR237" s="78" t="str">
        <f t="shared" si="30"/>
        <v>COM MAT ETI DER CUL EMP INV SST</v>
      </c>
      <c r="BS237" s="78" t="str">
        <f t="shared" si="26"/>
        <v>COM MAT ETI CUL EMP INV SST</v>
      </c>
      <c r="BT237" s="78" t="e">
        <f>VLOOKUP(A237,[2]Hoja1!$A$2:$B$123,2,FALSE)</f>
        <v>#N/A</v>
      </c>
      <c r="BW237" s="81" t="e">
        <f>VLOOKUP(A237,[2]PE04!$A$7:$A$328,1,FALSE)</f>
        <v>#N/A</v>
      </c>
    </row>
    <row r="238" spans="1:76" ht="13.5" customHeight="1" x14ac:dyDescent="0.25">
      <c r="A238" s="70">
        <v>3388643</v>
      </c>
      <c r="B238" s="71" t="s">
        <v>245</v>
      </c>
      <c r="C238" s="71">
        <v>61</v>
      </c>
      <c r="D238" s="72" t="s">
        <v>123</v>
      </c>
      <c r="E238" s="73">
        <v>46000</v>
      </c>
      <c r="F238" s="74">
        <f t="shared" si="27"/>
        <v>46638</v>
      </c>
      <c r="G238" s="73">
        <v>46820</v>
      </c>
      <c r="M238" s="82" t="s">
        <v>218</v>
      </c>
      <c r="P238" s="72" t="s">
        <v>191</v>
      </c>
      <c r="Q238" s="71" t="s">
        <v>401</v>
      </c>
      <c r="BI238" s="118"/>
      <c r="BJ238" s="119"/>
      <c r="BL238" s="75" t="s">
        <v>198</v>
      </c>
      <c r="BM238" s="75" t="s">
        <v>225</v>
      </c>
      <c r="BP238" s="73" t="s">
        <v>391</v>
      </c>
      <c r="BQ238" s="78" t="str">
        <f t="shared" si="29"/>
        <v>TIC COM MAT ETI DER CUL EMP INV SST</v>
      </c>
      <c r="BR238" s="78" t="str">
        <f t="shared" si="30"/>
        <v>TIC COM MAT ETI DER CUL EMP INV SST</v>
      </c>
      <c r="BS238" s="78" t="str">
        <f t="shared" ref="BS238:BS256" si="31">TRIM(SUBSTITUTE(SUBSTITUTE(SUBSTITUTE(SUBSTITUTE(SUBSTITUTE(SUBSTITUTE(SUBSTITUTE(SUBSTITUTE(SUBSTITUTE(SUBSTITUTE(SUBSTITUTE(SUBSTITUTE(SUBSTITUTE(SUBSTITUTE(SUBSTITUTE(SUBSTITUTE(SUBSTITUTE(SUBSTITUTE(SUBSTITUTE(Q238,Y238,""),AA238,""),AC238,""),AE238,""),AG238,""),AK238,""),AO238,""),AQ238,""),AS238,""),AU238,""),AW238,""),AY238,""),BA238,""),BC238,""),BE238,""),BG238,""),BI238,""),BL238,""),BN238,""))</f>
        <v>COM MAT ETI DER CUL EMP INV SST</v>
      </c>
      <c r="BT238" s="78" t="e">
        <f>VLOOKUP(A238,[2]Hoja1!$A$2:$B$123,2,FALSE)</f>
        <v>#N/A</v>
      </c>
      <c r="BW238" s="81" t="e">
        <f>VLOOKUP(A238,[2]PE04!$A$7:$A$328,1,FALSE)</f>
        <v>#N/A</v>
      </c>
    </row>
    <row r="239" spans="1:76" ht="13.5" customHeight="1" x14ac:dyDescent="0.25">
      <c r="A239" s="70">
        <v>3388644</v>
      </c>
      <c r="B239" s="71" t="s">
        <v>245</v>
      </c>
      <c r="C239" s="71">
        <v>53</v>
      </c>
      <c r="D239" s="72" t="s">
        <v>123</v>
      </c>
      <c r="E239" s="73">
        <v>46000</v>
      </c>
      <c r="F239" s="74">
        <f t="shared" si="27"/>
        <v>46638</v>
      </c>
      <c r="G239" s="73">
        <v>46820</v>
      </c>
      <c r="M239" s="82" t="s">
        <v>218</v>
      </c>
      <c r="P239" s="72" t="s">
        <v>191</v>
      </c>
      <c r="Q239" s="71" t="s">
        <v>401</v>
      </c>
      <c r="BI239" s="118"/>
      <c r="BJ239" s="119"/>
      <c r="BL239" s="75" t="s">
        <v>198</v>
      </c>
      <c r="BM239" s="75" t="s">
        <v>225</v>
      </c>
      <c r="BP239" s="73" t="s">
        <v>391</v>
      </c>
      <c r="BQ239" s="78" t="str">
        <f t="shared" si="29"/>
        <v>TIC COM MAT ETI DER CUL EMP INV SST</v>
      </c>
      <c r="BR239" s="78" t="str">
        <f t="shared" si="30"/>
        <v>TIC COM MAT ETI DER CUL EMP INV SST</v>
      </c>
      <c r="BS239" s="78" t="str">
        <f t="shared" si="31"/>
        <v>COM MAT ETI DER CUL EMP INV SST</v>
      </c>
      <c r="BT239" s="78" t="e">
        <f>VLOOKUP(A239,[2]Hoja1!$A$2:$B$123,2,FALSE)</f>
        <v>#N/A</v>
      </c>
      <c r="BW239" s="81" t="e">
        <f>VLOOKUP(A239,[2]PE04!$A$7:$A$328,1,FALSE)</f>
        <v>#N/A</v>
      </c>
    </row>
    <row r="240" spans="1:76" ht="13.5" customHeight="1" x14ac:dyDescent="0.25">
      <c r="A240" s="70">
        <v>3388645</v>
      </c>
      <c r="B240" s="71" t="s">
        <v>245</v>
      </c>
      <c r="C240" s="71">
        <v>56</v>
      </c>
      <c r="D240" s="72" t="s">
        <v>123</v>
      </c>
      <c r="E240" s="73">
        <v>46000</v>
      </c>
      <c r="F240" s="74">
        <f t="shared" si="27"/>
        <v>46638</v>
      </c>
      <c r="G240" s="73">
        <v>46820</v>
      </c>
      <c r="M240" s="82" t="s">
        <v>218</v>
      </c>
      <c r="P240" s="72" t="s">
        <v>191</v>
      </c>
      <c r="Q240" s="71" t="s">
        <v>401</v>
      </c>
      <c r="BI240" s="75" t="s">
        <v>208</v>
      </c>
      <c r="BJ240" s="75" t="s">
        <v>547</v>
      </c>
      <c r="BL240" s="75" t="s">
        <v>198</v>
      </c>
      <c r="BM240" s="75" t="s">
        <v>253</v>
      </c>
      <c r="BP240" s="73" t="s">
        <v>391</v>
      </c>
      <c r="BQ240" s="78" t="str">
        <f t="shared" si="29"/>
        <v>TIC COM MAT ETI DER CUL EMP INV SST</v>
      </c>
      <c r="BR240" s="78" t="str">
        <f t="shared" si="30"/>
        <v>TIC COM MAT ETI CUL EMP INV SST</v>
      </c>
      <c r="BS240" s="78" t="str">
        <f t="shared" si="31"/>
        <v>COM MAT ETI CUL EMP INV SST</v>
      </c>
      <c r="BT240" s="78" t="e">
        <f>VLOOKUP(A240,[2]Hoja1!$A$2:$B$123,2,FALSE)</f>
        <v>#N/A</v>
      </c>
      <c r="BW240" s="81" t="e">
        <f>VLOOKUP(A240,[2]PE04!$A$7:$A$328,1,FALSE)</f>
        <v>#N/A</v>
      </c>
    </row>
    <row r="241" spans="1:75" ht="13.5" customHeight="1" x14ac:dyDescent="0.25">
      <c r="A241" s="70">
        <v>3388646</v>
      </c>
      <c r="B241" s="71" t="s">
        <v>245</v>
      </c>
      <c r="C241" s="71">
        <v>51</v>
      </c>
      <c r="D241" s="72" t="s">
        <v>123</v>
      </c>
      <c r="E241" s="73">
        <v>46000</v>
      </c>
      <c r="F241" s="74">
        <f t="shared" si="27"/>
        <v>46638</v>
      </c>
      <c r="G241" s="73">
        <v>46820</v>
      </c>
      <c r="M241" s="82" t="s">
        <v>218</v>
      </c>
      <c r="P241" s="72" t="s">
        <v>402</v>
      </c>
      <c r="Q241" s="71" t="s">
        <v>401</v>
      </c>
      <c r="BI241" s="75" t="s">
        <v>208</v>
      </c>
      <c r="BJ241" s="75" t="s">
        <v>547</v>
      </c>
      <c r="BL241" s="75" t="s">
        <v>198</v>
      </c>
      <c r="BM241" s="75" t="s">
        <v>253</v>
      </c>
      <c r="BP241" s="73" t="s">
        <v>391</v>
      </c>
      <c r="BQ241" s="78" t="str">
        <f t="shared" si="29"/>
        <v>TIC COM MAT ETI DER CUL EMP INV SST</v>
      </c>
      <c r="BR241" s="78" t="str">
        <f t="shared" si="30"/>
        <v>TIC COM MAT ETI CUL EMP INV SST</v>
      </c>
      <c r="BS241" s="78" t="str">
        <f t="shared" si="31"/>
        <v>COM MAT ETI CUL EMP INV SST</v>
      </c>
      <c r="BT241" s="78" t="e">
        <f>VLOOKUP(A241,[2]Hoja1!$A$2:$B$123,2,FALSE)</f>
        <v>#N/A</v>
      </c>
      <c r="BW241" s="81" t="e">
        <f>VLOOKUP(A241,[2]PE04!$A$7:$A$328,1,FALSE)</f>
        <v>#N/A</v>
      </c>
    </row>
    <row r="242" spans="1:75" ht="13.5" customHeight="1" x14ac:dyDescent="0.25">
      <c r="A242" s="70">
        <v>3388647</v>
      </c>
      <c r="B242" s="71" t="s">
        <v>245</v>
      </c>
      <c r="C242" s="71">
        <v>51</v>
      </c>
      <c r="D242" s="72" t="s">
        <v>123</v>
      </c>
      <c r="E242" s="73">
        <v>46000</v>
      </c>
      <c r="F242" s="74">
        <f t="shared" si="27"/>
        <v>46638</v>
      </c>
      <c r="G242" s="73">
        <v>46820</v>
      </c>
      <c r="M242" s="82" t="s">
        <v>218</v>
      </c>
      <c r="P242" s="72" t="s">
        <v>402</v>
      </c>
      <c r="Q242" s="71" t="s">
        <v>401</v>
      </c>
      <c r="BI242" s="75" t="s">
        <v>208</v>
      </c>
      <c r="BJ242" s="75" t="s">
        <v>547</v>
      </c>
      <c r="BL242" s="75" t="s">
        <v>198</v>
      </c>
      <c r="BM242" s="75" t="s">
        <v>253</v>
      </c>
      <c r="BP242" s="73" t="s">
        <v>391</v>
      </c>
      <c r="BQ242" s="78" t="str">
        <f t="shared" si="29"/>
        <v>TIC COM MAT ETI DER CUL EMP INV SST</v>
      </c>
      <c r="BR242" s="78" t="str">
        <f t="shared" si="30"/>
        <v>TIC COM MAT ETI CUL EMP INV SST</v>
      </c>
      <c r="BS242" s="78" t="str">
        <f t="shared" si="31"/>
        <v>COM MAT ETI CUL EMP INV SST</v>
      </c>
      <c r="BT242" s="78" t="e">
        <f>VLOOKUP(A242,[2]Hoja1!$A$2:$B$123,2,FALSE)</f>
        <v>#N/A</v>
      </c>
      <c r="BW242" s="81" t="e">
        <f>VLOOKUP(A242,[2]PE04!$A$7:$A$328,1,FALSE)</f>
        <v>#N/A</v>
      </c>
    </row>
    <row r="243" spans="1:75" ht="13.5" customHeight="1" x14ac:dyDescent="0.25">
      <c r="A243" s="70">
        <v>3388648</v>
      </c>
      <c r="B243" s="71" t="s">
        <v>245</v>
      </c>
      <c r="C243" s="71">
        <v>48</v>
      </c>
      <c r="D243" s="72" t="s">
        <v>123</v>
      </c>
      <c r="E243" s="73">
        <v>46000</v>
      </c>
      <c r="F243" s="74">
        <f t="shared" si="27"/>
        <v>46638</v>
      </c>
      <c r="G243" s="73">
        <v>46820</v>
      </c>
      <c r="M243" s="82" t="s">
        <v>218</v>
      </c>
      <c r="P243" s="72" t="s">
        <v>230</v>
      </c>
      <c r="Q243" s="71" t="s">
        <v>401</v>
      </c>
      <c r="BI243" s="75" t="s">
        <v>208</v>
      </c>
      <c r="BJ243" s="75" t="s">
        <v>547</v>
      </c>
      <c r="BL243" s="75" t="s">
        <v>198</v>
      </c>
      <c r="BM243" s="75" t="s">
        <v>253</v>
      </c>
      <c r="BP243" s="73" t="s">
        <v>391</v>
      </c>
      <c r="BQ243" s="78" t="str">
        <f t="shared" si="29"/>
        <v>TIC COM MAT ETI DER CUL EMP INV SST</v>
      </c>
      <c r="BR243" s="78" t="str">
        <f t="shared" si="30"/>
        <v>TIC COM MAT ETI CUL EMP INV SST</v>
      </c>
      <c r="BS243" s="78" t="str">
        <f t="shared" si="31"/>
        <v>COM MAT ETI CUL EMP INV SST</v>
      </c>
      <c r="BT243" s="78" t="e">
        <f>VLOOKUP(A243,[2]Hoja1!$A$2:$B$123,2,FALSE)</f>
        <v>#N/A</v>
      </c>
      <c r="BW243" s="81" t="e">
        <f>VLOOKUP(A243,[2]PE04!$A$7:$A$328,1,FALSE)</f>
        <v>#N/A</v>
      </c>
    </row>
    <row r="244" spans="1:75" ht="13.5" customHeight="1" x14ac:dyDescent="0.25">
      <c r="A244" s="70">
        <v>3388649</v>
      </c>
      <c r="B244" s="71" t="s">
        <v>245</v>
      </c>
      <c r="C244" s="71">
        <v>45</v>
      </c>
      <c r="D244" s="72" t="s">
        <v>123</v>
      </c>
      <c r="E244" s="73">
        <v>46000</v>
      </c>
      <c r="F244" s="74">
        <f t="shared" si="27"/>
        <v>46638</v>
      </c>
      <c r="G244" s="73">
        <v>46820</v>
      </c>
      <c r="M244" s="82" t="s">
        <v>218</v>
      </c>
      <c r="P244" s="72" t="s">
        <v>229</v>
      </c>
      <c r="Q244" s="71" t="s">
        <v>401</v>
      </c>
      <c r="BI244" s="75" t="s">
        <v>208</v>
      </c>
      <c r="BJ244" s="75" t="s">
        <v>547</v>
      </c>
      <c r="BL244" s="75" t="s">
        <v>198</v>
      </c>
      <c r="BM244" s="75" t="s">
        <v>253</v>
      </c>
      <c r="BP244" s="73" t="s">
        <v>391</v>
      </c>
      <c r="BQ244" s="78" t="str">
        <f t="shared" si="29"/>
        <v>TIC COM MAT ETI DER CUL EMP INV SST</v>
      </c>
      <c r="BR244" s="78" t="str">
        <f t="shared" si="30"/>
        <v>TIC COM MAT ETI CUL EMP INV SST</v>
      </c>
      <c r="BS244" s="78" t="str">
        <f t="shared" si="31"/>
        <v>COM MAT ETI CUL EMP INV SST</v>
      </c>
      <c r="BT244" s="78" t="e">
        <f>VLOOKUP(A244,[2]Hoja1!$A$2:$B$123,2,FALSE)</f>
        <v>#N/A</v>
      </c>
      <c r="BW244" s="81" t="e">
        <f>VLOOKUP(A244,[2]PE04!$A$7:$A$328,1,FALSE)</f>
        <v>#N/A</v>
      </c>
    </row>
    <row r="245" spans="1:75" ht="13.5" customHeight="1" x14ac:dyDescent="0.25">
      <c r="A245" s="70">
        <v>3388650</v>
      </c>
      <c r="B245" s="71" t="s">
        <v>245</v>
      </c>
      <c r="C245" s="71">
        <v>52</v>
      </c>
      <c r="D245" s="72" t="s">
        <v>123</v>
      </c>
      <c r="E245" s="73">
        <v>46000</v>
      </c>
      <c r="F245" s="74">
        <f t="shared" si="27"/>
        <v>46638</v>
      </c>
      <c r="G245" s="73">
        <v>46820</v>
      </c>
      <c r="M245" s="82" t="s">
        <v>218</v>
      </c>
      <c r="P245" s="72" t="s">
        <v>229</v>
      </c>
      <c r="Q245" s="71" t="s">
        <v>401</v>
      </c>
      <c r="BL245" s="75" t="s">
        <v>198</v>
      </c>
      <c r="BM245" s="75" t="s">
        <v>225</v>
      </c>
      <c r="BP245" s="73" t="s">
        <v>391</v>
      </c>
      <c r="BQ245" s="78" t="str">
        <f t="shared" si="29"/>
        <v>TIC COM MAT ETI DER CUL EMP INV SST</v>
      </c>
      <c r="BR245" s="78" t="str">
        <f t="shared" si="30"/>
        <v>TIC COM MAT ETI DER CUL EMP INV SST</v>
      </c>
      <c r="BS245" s="78" t="str">
        <f t="shared" si="31"/>
        <v>COM MAT ETI DER CUL EMP INV SST</v>
      </c>
      <c r="BT245" s="78" t="e">
        <f>VLOOKUP(A245,[2]Hoja1!$A$2:$B$123,2,FALSE)</f>
        <v>#N/A</v>
      </c>
      <c r="BW245" s="81" t="e">
        <f>VLOOKUP(A245,[2]PE04!$A$7:$A$328,1,FALSE)</f>
        <v>#N/A</v>
      </c>
    </row>
    <row r="246" spans="1:75" ht="13.5" customHeight="1" x14ac:dyDescent="0.25">
      <c r="A246" s="70">
        <v>3388651</v>
      </c>
      <c r="B246" s="71" t="s">
        <v>245</v>
      </c>
      <c r="C246" s="71">
        <v>51</v>
      </c>
      <c r="D246" s="72" t="s">
        <v>123</v>
      </c>
      <c r="E246" s="73">
        <v>46000</v>
      </c>
      <c r="F246" s="74">
        <f t="shared" si="27"/>
        <v>46638</v>
      </c>
      <c r="G246" s="73">
        <v>46820</v>
      </c>
      <c r="M246" s="82" t="s">
        <v>218</v>
      </c>
      <c r="P246" s="72" t="s">
        <v>229</v>
      </c>
      <c r="Q246" s="71" t="s">
        <v>401</v>
      </c>
      <c r="BL246" s="75" t="s">
        <v>198</v>
      </c>
      <c r="BM246" s="75" t="s">
        <v>225</v>
      </c>
      <c r="BP246" s="73" t="s">
        <v>391</v>
      </c>
      <c r="BQ246" s="78" t="str">
        <f t="shared" si="29"/>
        <v>TIC COM MAT ETI DER CUL EMP INV SST</v>
      </c>
      <c r="BR246" s="78" t="str">
        <f t="shared" si="30"/>
        <v>TIC COM MAT ETI DER CUL EMP INV SST</v>
      </c>
      <c r="BS246" s="78" t="str">
        <f t="shared" si="31"/>
        <v>COM MAT ETI DER CUL EMP INV SST</v>
      </c>
      <c r="BT246" s="78" t="e">
        <f>VLOOKUP(A246,[2]Hoja1!$A$2:$B$123,2,FALSE)</f>
        <v>#N/A</v>
      </c>
      <c r="BW246" s="81" t="e">
        <f>VLOOKUP(A246,[2]PE04!$A$7:$A$328,1,FALSE)</f>
        <v>#N/A</v>
      </c>
    </row>
    <row r="247" spans="1:75" ht="13.5" customHeight="1" x14ac:dyDescent="0.25">
      <c r="A247" s="70">
        <v>3388652</v>
      </c>
      <c r="B247" s="71" t="s">
        <v>245</v>
      </c>
      <c r="C247" s="71">
        <v>46</v>
      </c>
      <c r="D247" s="72" t="s">
        <v>123</v>
      </c>
      <c r="E247" s="73">
        <v>46000</v>
      </c>
      <c r="F247" s="74">
        <f t="shared" si="27"/>
        <v>46638</v>
      </c>
      <c r="G247" s="73">
        <v>46820</v>
      </c>
      <c r="M247" s="82" t="s">
        <v>218</v>
      </c>
      <c r="P247" s="72" t="s">
        <v>232</v>
      </c>
      <c r="Q247" s="71" t="s">
        <v>401</v>
      </c>
      <c r="BL247" s="75" t="s">
        <v>198</v>
      </c>
      <c r="BM247" s="75" t="s">
        <v>225</v>
      </c>
      <c r="BP247" s="73" t="s">
        <v>391</v>
      </c>
      <c r="BQ247" s="78" t="str">
        <f t="shared" si="29"/>
        <v>TIC COM MAT ETI DER CUL EMP INV SST</v>
      </c>
      <c r="BR247" s="78" t="str">
        <f t="shared" si="30"/>
        <v>TIC COM MAT ETI DER CUL EMP INV SST</v>
      </c>
      <c r="BS247" s="78" t="str">
        <f t="shared" si="31"/>
        <v>COM MAT ETI DER CUL EMP INV SST</v>
      </c>
      <c r="BT247" s="78" t="e">
        <f>VLOOKUP(A247,[2]Hoja1!$A$2:$B$123,2,FALSE)</f>
        <v>#N/A</v>
      </c>
      <c r="BW247" s="81" t="e">
        <f>VLOOKUP(A247,[2]PE04!$A$7:$A$328,1,FALSE)</f>
        <v>#N/A</v>
      </c>
    </row>
    <row r="248" spans="1:75" ht="13.5" customHeight="1" x14ac:dyDescent="0.25">
      <c r="A248" s="70">
        <v>3388653</v>
      </c>
      <c r="B248" s="71" t="s">
        <v>245</v>
      </c>
      <c r="C248" s="71">
        <v>49</v>
      </c>
      <c r="D248" s="72" t="s">
        <v>123</v>
      </c>
      <c r="E248" s="73">
        <v>46000</v>
      </c>
      <c r="F248" s="74">
        <f t="shared" si="27"/>
        <v>46638</v>
      </c>
      <c r="G248" s="73">
        <v>46820</v>
      </c>
      <c r="M248" s="82" t="s">
        <v>218</v>
      </c>
      <c r="P248" s="72" t="s">
        <v>232</v>
      </c>
      <c r="Q248" s="71" t="s">
        <v>401</v>
      </c>
      <c r="BL248" s="75" t="s">
        <v>198</v>
      </c>
      <c r="BM248" s="75" t="s">
        <v>199</v>
      </c>
      <c r="BP248" s="73" t="s">
        <v>391</v>
      </c>
      <c r="BQ248" s="78" t="str">
        <f t="shared" si="29"/>
        <v>TIC COM MAT ETI DER CUL EMP INV SST</v>
      </c>
      <c r="BR248" s="78" t="str">
        <f t="shared" si="30"/>
        <v>TIC COM MAT ETI DER CUL EMP INV SST</v>
      </c>
      <c r="BS248" s="78" t="str">
        <f t="shared" si="31"/>
        <v>COM MAT ETI DER CUL EMP INV SST</v>
      </c>
      <c r="BT248" s="78" t="e">
        <f>VLOOKUP(A248,[2]Hoja1!$A$2:$B$123,2,FALSE)</f>
        <v>#N/A</v>
      </c>
      <c r="BW248" s="81" t="e">
        <f>VLOOKUP(A248,[2]PE04!$A$7:$A$328,1,FALSE)</f>
        <v>#N/A</v>
      </c>
    </row>
    <row r="249" spans="1:75" ht="13.5" customHeight="1" x14ac:dyDescent="0.25">
      <c r="A249" s="70">
        <v>3388654</v>
      </c>
      <c r="B249" s="71" t="s">
        <v>245</v>
      </c>
      <c r="C249" s="71">
        <v>55</v>
      </c>
      <c r="D249" s="72" t="s">
        <v>123</v>
      </c>
      <c r="E249" s="73">
        <v>46000</v>
      </c>
      <c r="F249" s="74">
        <f t="shared" si="27"/>
        <v>46638</v>
      </c>
      <c r="G249" s="73">
        <v>46820</v>
      </c>
      <c r="M249" s="82" t="s">
        <v>218</v>
      </c>
      <c r="P249" s="72" t="s">
        <v>232</v>
      </c>
      <c r="Q249" s="71" t="s">
        <v>401</v>
      </c>
      <c r="BL249" s="75" t="s">
        <v>198</v>
      </c>
      <c r="BM249" s="75" t="s">
        <v>199</v>
      </c>
      <c r="BP249" s="73" t="s">
        <v>391</v>
      </c>
      <c r="BQ249" s="78" t="str">
        <f t="shared" si="29"/>
        <v>TIC COM MAT ETI DER CUL EMP INV SST</v>
      </c>
      <c r="BR249" s="78" t="str">
        <f t="shared" si="30"/>
        <v>TIC COM MAT ETI DER CUL EMP INV SST</v>
      </c>
      <c r="BS249" s="78" t="str">
        <f t="shared" si="31"/>
        <v>COM MAT ETI DER CUL EMP INV SST</v>
      </c>
      <c r="BT249" s="78" t="e">
        <f>VLOOKUP(A249,[2]Hoja1!$A$2:$B$123,2,FALSE)</f>
        <v>#N/A</v>
      </c>
      <c r="BW249" s="81" t="e">
        <f>VLOOKUP(A249,[2]PE04!$A$7:$A$328,1,FALSE)</f>
        <v>#N/A</v>
      </c>
    </row>
    <row r="250" spans="1:75" ht="13.5" customHeight="1" x14ac:dyDescent="0.25">
      <c r="A250" s="70">
        <v>3388655</v>
      </c>
      <c r="B250" s="71" t="s">
        <v>245</v>
      </c>
      <c r="C250" s="71">
        <v>53</v>
      </c>
      <c r="D250" s="72" t="s">
        <v>123</v>
      </c>
      <c r="E250" s="73">
        <v>46000</v>
      </c>
      <c r="F250" s="74">
        <f t="shared" ref="F250:F254" si="32">IF(
OR(((ROUND((G250-E250)/30,0))=27),((ROUND((G250-E250)/30,0))=15)),
EDATE(G250,-6),
IF(
(ROUND((G250-E250)/30,0))=12,
EDATE(G250,-3),
IF(
(ROUND((G250-E250)/30,0))=9,
EDATE(G250,0),"CALCULAR")))</f>
        <v>46638</v>
      </c>
      <c r="G250" s="73">
        <v>46820</v>
      </c>
      <c r="M250" s="82" t="s">
        <v>218</v>
      </c>
      <c r="P250" s="72" t="s">
        <v>576</v>
      </c>
      <c r="Q250" s="71" t="s">
        <v>401</v>
      </c>
      <c r="BL250" s="75" t="s">
        <v>198</v>
      </c>
      <c r="BM250" s="75" t="s">
        <v>199</v>
      </c>
      <c r="BP250" s="73" t="s">
        <v>391</v>
      </c>
      <c r="BQ250" s="78" t="str">
        <f t="shared" si="29"/>
        <v>TIC COM MAT ETI DER CUL EMP INV SST</v>
      </c>
      <c r="BR250" s="78" t="str">
        <f t="shared" si="30"/>
        <v>TIC COM MAT ETI DER CUL EMP INV SST</v>
      </c>
      <c r="BS250" s="78" t="str">
        <f t="shared" si="31"/>
        <v>COM MAT ETI DER CUL EMP INV SST</v>
      </c>
      <c r="BT250" s="78" t="e">
        <f>VLOOKUP(A250,[2]Hoja1!$A$2:$B$123,2,FALSE)</f>
        <v>#N/A</v>
      </c>
      <c r="BW250" s="81" t="e">
        <f>VLOOKUP(A250,[2]PE04!$A$7:$A$328,1,FALSE)</f>
        <v>#N/A</v>
      </c>
    </row>
    <row r="251" spans="1:75" ht="13.5" customHeight="1" x14ac:dyDescent="0.25">
      <c r="A251" s="70">
        <v>3388656</v>
      </c>
      <c r="B251" s="71" t="s">
        <v>245</v>
      </c>
      <c r="C251" s="71">
        <v>53</v>
      </c>
      <c r="D251" s="72" t="s">
        <v>123</v>
      </c>
      <c r="E251" s="73">
        <v>46000</v>
      </c>
      <c r="F251" s="74">
        <f t="shared" si="32"/>
        <v>46638</v>
      </c>
      <c r="G251" s="73">
        <v>46820</v>
      </c>
      <c r="M251" s="82" t="s">
        <v>218</v>
      </c>
      <c r="P251" s="72" t="s">
        <v>576</v>
      </c>
      <c r="Q251" s="71" t="s">
        <v>401</v>
      </c>
      <c r="BL251" s="75" t="s">
        <v>198</v>
      </c>
      <c r="BM251" s="75" t="s">
        <v>199</v>
      </c>
      <c r="BP251" s="73" t="s">
        <v>391</v>
      </c>
      <c r="BQ251" s="78" t="str">
        <f t="shared" si="29"/>
        <v>TIC COM MAT ETI DER CUL EMP INV SST</v>
      </c>
      <c r="BR251" s="78" t="str">
        <f t="shared" si="30"/>
        <v>TIC COM MAT ETI DER CUL EMP INV SST</v>
      </c>
      <c r="BS251" s="78" t="str">
        <f t="shared" si="31"/>
        <v>COM MAT ETI DER CUL EMP INV SST</v>
      </c>
      <c r="BT251" s="78" t="e">
        <f>VLOOKUP(A251,[2]Hoja1!$A$2:$B$123,2,FALSE)</f>
        <v>#N/A</v>
      </c>
      <c r="BW251" s="81" t="e">
        <f>VLOOKUP(A251,[2]PE04!$A$7:$A$328,1,FALSE)</f>
        <v>#N/A</v>
      </c>
    </row>
    <row r="252" spans="1:75" ht="13.5" customHeight="1" x14ac:dyDescent="0.25">
      <c r="A252" s="70">
        <v>3388657</v>
      </c>
      <c r="B252" s="71" t="s">
        <v>245</v>
      </c>
      <c r="C252" s="71">
        <v>53</v>
      </c>
      <c r="D252" s="72" t="s">
        <v>123</v>
      </c>
      <c r="E252" s="73">
        <v>46000</v>
      </c>
      <c r="F252" s="74">
        <f t="shared" si="32"/>
        <v>46638</v>
      </c>
      <c r="G252" s="73">
        <v>46820</v>
      </c>
      <c r="M252" s="82" t="s">
        <v>218</v>
      </c>
      <c r="P252" s="72" t="s">
        <v>576</v>
      </c>
      <c r="Q252" s="71" t="s">
        <v>401</v>
      </c>
      <c r="BL252" s="75" t="s">
        <v>198</v>
      </c>
      <c r="BM252" s="75" t="s">
        <v>199</v>
      </c>
      <c r="BP252" s="73" t="s">
        <v>391</v>
      </c>
      <c r="BQ252" s="78" t="str">
        <f t="shared" si="29"/>
        <v>TIC COM MAT ETI DER CUL EMP INV SST</v>
      </c>
      <c r="BR252" s="78" t="str">
        <f t="shared" si="30"/>
        <v>TIC COM MAT ETI DER CUL EMP INV SST</v>
      </c>
      <c r="BS252" s="78" t="str">
        <f t="shared" si="31"/>
        <v>COM MAT ETI DER CUL EMP INV SST</v>
      </c>
      <c r="BT252" s="78" t="e">
        <f>VLOOKUP(A252,[2]Hoja1!$A$2:$B$123,2,FALSE)</f>
        <v>#N/A</v>
      </c>
      <c r="BW252" s="81" t="e">
        <f>VLOOKUP(A252,[2]PE04!$A$7:$A$328,1,FALSE)</f>
        <v>#N/A</v>
      </c>
    </row>
    <row r="253" spans="1:75" ht="13.5" customHeight="1" x14ac:dyDescent="0.25">
      <c r="A253" s="70">
        <v>3388658</v>
      </c>
      <c r="B253" s="71" t="s">
        <v>245</v>
      </c>
      <c r="C253" s="71">
        <v>59</v>
      </c>
      <c r="D253" s="72" t="s">
        <v>123</v>
      </c>
      <c r="E253" s="73">
        <v>46000</v>
      </c>
      <c r="F253" s="74">
        <f t="shared" si="32"/>
        <v>46638</v>
      </c>
      <c r="G253" s="73">
        <v>46820</v>
      </c>
      <c r="M253" s="82" t="s">
        <v>218</v>
      </c>
      <c r="P253" s="72" t="s">
        <v>230</v>
      </c>
      <c r="Q253" s="71" t="s">
        <v>401</v>
      </c>
      <c r="BL253" s="75" t="s">
        <v>198</v>
      </c>
      <c r="BM253" s="75" t="s">
        <v>557</v>
      </c>
      <c r="BP253" s="73" t="s">
        <v>391</v>
      </c>
      <c r="BQ253" s="78" t="str">
        <f t="shared" si="29"/>
        <v>TIC COM MAT ETI DER CUL EMP INV SST</v>
      </c>
      <c r="BR253" s="78" t="str">
        <f t="shared" si="30"/>
        <v>TIC COM MAT ETI DER CUL EMP INV SST</v>
      </c>
      <c r="BS253" s="78" t="str">
        <f t="shared" si="31"/>
        <v>COM MAT ETI DER CUL EMP INV SST</v>
      </c>
      <c r="BT253" s="78" t="e">
        <f>VLOOKUP(A253,[2]Hoja1!$A$2:$B$123,2,FALSE)</f>
        <v>#N/A</v>
      </c>
      <c r="BW253" s="81" t="e">
        <f>VLOOKUP(A253,[2]PE04!$A$7:$A$328,1,FALSE)</f>
        <v>#N/A</v>
      </c>
    </row>
    <row r="254" spans="1:75" ht="13.5" customHeight="1" x14ac:dyDescent="0.25">
      <c r="A254" s="70">
        <v>3388659</v>
      </c>
      <c r="B254" s="71" t="s">
        <v>245</v>
      </c>
      <c r="C254" s="71">
        <v>49</v>
      </c>
      <c r="D254" s="72" t="s">
        <v>123</v>
      </c>
      <c r="E254" s="73">
        <v>46000</v>
      </c>
      <c r="F254" s="74">
        <f t="shared" si="32"/>
        <v>46638</v>
      </c>
      <c r="G254" s="73">
        <v>46820</v>
      </c>
      <c r="M254" s="82" t="s">
        <v>218</v>
      </c>
      <c r="P254" s="72" t="s">
        <v>230</v>
      </c>
      <c r="Q254" s="71" t="s">
        <v>401</v>
      </c>
      <c r="BL254" s="75" t="s">
        <v>198</v>
      </c>
      <c r="BM254" s="75" t="s">
        <v>557</v>
      </c>
      <c r="BP254" s="73" t="s">
        <v>391</v>
      </c>
      <c r="BQ254" s="78" t="str">
        <f t="shared" si="29"/>
        <v>TIC COM MAT ETI DER CUL EMP INV SST</v>
      </c>
      <c r="BR254" s="78" t="str">
        <f t="shared" si="30"/>
        <v>TIC COM MAT ETI DER CUL EMP INV SST</v>
      </c>
      <c r="BS254" s="78" t="str">
        <f t="shared" si="31"/>
        <v>COM MAT ETI DER CUL EMP INV SST</v>
      </c>
      <c r="BT254" s="78" t="e">
        <f>VLOOKUP(A254,[2]Hoja1!$A$2:$B$123,2,FALSE)</f>
        <v>#N/A</v>
      </c>
      <c r="BW254" s="81" t="e">
        <f>VLOOKUP(A254,[2]PE04!$A$7:$A$328,1,FALSE)</f>
        <v>#N/A</v>
      </c>
    </row>
    <row r="255" spans="1:75" s="122" customFormat="1" ht="13.5" customHeight="1" x14ac:dyDescent="0.25">
      <c r="A255" s="77">
        <v>3356110</v>
      </c>
      <c r="B255" s="120" t="s">
        <v>125</v>
      </c>
      <c r="C255" s="120">
        <v>52</v>
      </c>
      <c r="D255" s="121" t="s">
        <v>87</v>
      </c>
      <c r="E255" s="115" t="s">
        <v>126</v>
      </c>
      <c r="F255" s="115" t="s">
        <v>127</v>
      </c>
      <c r="G255" s="115">
        <v>46229</v>
      </c>
      <c r="I255" s="120"/>
      <c r="J255" s="120"/>
      <c r="K255" s="120"/>
      <c r="L255" s="120"/>
      <c r="M255" s="120" t="s">
        <v>558</v>
      </c>
      <c r="N255" s="120"/>
      <c r="O255" s="120"/>
      <c r="P255" s="72" t="s">
        <v>498</v>
      </c>
      <c r="Q255" s="120" t="s">
        <v>359</v>
      </c>
      <c r="R255" s="120"/>
      <c r="S255" s="118"/>
      <c r="T255" s="118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18"/>
      <c r="AL255" s="118"/>
      <c r="AM255" s="118"/>
      <c r="AN255" s="118"/>
      <c r="AO255" s="118"/>
      <c r="AP255" s="118"/>
      <c r="AQ255" s="118"/>
      <c r="AR255" s="118"/>
      <c r="AS255" s="118"/>
      <c r="AT255" s="118"/>
      <c r="AU255" s="118"/>
      <c r="AV255" s="118"/>
      <c r="AW255" s="118"/>
      <c r="AX255" s="118"/>
      <c r="AY255" s="118"/>
      <c r="AZ255" s="118"/>
      <c r="BA255" s="118"/>
      <c r="BB255" s="118"/>
      <c r="BC255" s="118"/>
      <c r="BD255" s="118"/>
      <c r="BE255" s="118"/>
      <c r="BF255" s="118"/>
      <c r="BG255" s="118"/>
      <c r="BH255" s="75"/>
      <c r="BI255" s="118" t="s">
        <v>198</v>
      </c>
      <c r="BJ255" s="118" t="s">
        <v>557</v>
      </c>
      <c r="BK255" s="118"/>
      <c r="BL255" s="118" t="s">
        <v>200</v>
      </c>
      <c r="BM255" s="118" t="s">
        <v>201</v>
      </c>
      <c r="BN255" s="118" t="s">
        <v>202</v>
      </c>
      <c r="BO255" s="118" t="s">
        <v>203</v>
      </c>
      <c r="BP255" s="73" t="s">
        <v>391</v>
      </c>
      <c r="BQ255" s="123" t="str">
        <f t="shared" si="29"/>
        <v>TIC MAT FIS CUL ETI COM SST DER EMP</v>
      </c>
      <c r="BR255" s="123" t="str">
        <f t="shared" si="30"/>
        <v>MAT FIS CUL ETI COM SST DER EMP</v>
      </c>
      <c r="BS255" s="78" t="str">
        <f t="shared" si="31"/>
        <v>FIS ETI COM SST DER EMP</v>
      </c>
      <c r="BT255" s="123" t="e">
        <f>VLOOKUP(A255,[2]Hoja1!$A$2:$B$123,2,FALSE)</f>
        <v>#N/A</v>
      </c>
      <c r="BU255" s="120"/>
      <c r="BV255" s="120"/>
      <c r="BW255" s="122" t="e">
        <f>VLOOKUP(A255,[2]PE04!$A$7:$A$328,1,FALSE)</f>
        <v>#N/A</v>
      </c>
    </row>
    <row r="256" spans="1:75" s="122" customFormat="1" ht="13.5" customHeight="1" x14ac:dyDescent="0.25">
      <c r="A256" s="77">
        <v>3356112</v>
      </c>
      <c r="B256" s="120" t="s">
        <v>125</v>
      </c>
      <c r="C256" s="120">
        <v>57</v>
      </c>
      <c r="D256" s="121" t="s">
        <v>87</v>
      </c>
      <c r="E256" s="115">
        <v>45957</v>
      </c>
      <c r="F256" s="115" t="s">
        <v>127</v>
      </c>
      <c r="G256" s="115">
        <v>46229</v>
      </c>
      <c r="I256" s="120"/>
      <c r="J256" s="120"/>
      <c r="K256" s="120"/>
      <c r="L256" s="120"/>
      <c r="M256" s="120" t="s">
        <v>558</v>
      </c>
      <c r="N256" s="120"/>
      <c r="O256" s="120"/>
      <c r="P256" s="72" t="s">
        <v>498</v>
      </c>
      <c r="Q256" s="120" t="s">
        <v>359</v>
      </c>
      <c r="R256" s="120"/>
      <c r="S256" s="118"/>
      <c r="T256" s="118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18"/>
      <c r="AL256" s="118"/>
      <c r="AM256" s="118"/>
      <c r="AN256" s="118"/>
      <c r="AO256" s="118"/>
      <c r="AP256" s="118"/>
      <c r="AQ256" s="118"/>
      <c r="AR256" s="118"/>
      <c r="AS256" s="118"/>
      <c r="AT256" s="118"/>
      <c r="AU256" s="118"/>
      <c r="AV256" s="118"/>
      <c r="AW256" s="118"/>
      <c r="AX256" s="118"/>
      <c r="AY256" s="118"/>
      <c r="AZ256" s="118"/>
      <c r="BA256" s="118"/>
      <c r="BB256" s="118"/>
      <c r="BC256" s="118"/>
      <c r="BD256" s="118"/>
      <c r="BE256" s="118"/>
      <c r="BF256" s="118"/>
      <c r="BG256" s="118"/>
      <c r="BH256" s="75"/>
      <c r="BI256" s="118" t="s">
        <v>198</v>
      </c>
      <c r="BJ256" s="118" t="s">
        <v>557</v>
      </c>
      <c r="BK256" s="118"/>
      <c r="BL256" s="118" t="s">
        <v>200</v>
      </c>
      <c r="BM256" s="118" t="s">
        <v>201</v>
      </c>
      <c r="BN256" s="118" t="s">
        <v>202</v>
      </c>
      <c r="BO256" s="118" t="s">
        <v>203</v>
      </c>
      <c r="BP256" s="73" t="s">
        <v>391</v>
      </c>
      <c r="BQ256" s="123" t="str">
        <f t="shared" si="29"/>
        <v>TIC MAT FIS CUL ETI COM SST DER EMP</v>
      </c>
      <c r="BR256" s="123" t="str">
        <f t="shared" si="30"/>
        <v>MAT FIS CUL ETI COM SST DER EMP</v>
      </c>
      <c r="BS256" s="78" t="str">
        <f t="shared" si="31"/>
        <v>FIS ETI COM SST DER EMP</v>
      </c>
      <c r="BT256" s="123" t="e">
        <f>VLOOKUP(A256,[2]Hoja1!$A$2:$B$123,2,FALSE)</f>
        <v>#N/A</v>
      </c>
      <c r="BU256" s="120"/>
      <c r="BV256" s="120"/>
      <c r="BW256" s="122" t="e">
        <f>VLOOKUP(A256,[2]PE04!$A$7:$A$328,1,FALSE)</f>
        <v>#N/A</v>
      </c>
    </row>
    <row r="257" spans="69:72" ht="13.5" customHeight="1" x14ac:dyDescent="0.25">
      <c r="BQ257" s="73"/>
      <c r="BR257" s="73"/>
      <c r="BS257" s="73"/>
      <c r="BT257" s="73"/>
    </row>
    <row r="258" spans="69:72" ht="13.5" customHeight="1" x14ac:dyDescent="0.25">
      <c r="BQ258" s="73"/>
      <c r="BR258" s="73"/>
      <c r="BS258" s="73"/>
      <c r="BT258" s="73"/>
    </row>
  </sheetData>
  <autoFilter ref="A2:BX256" xr:uid="{E1B9BB1B-9251-4419-B3FD-55334C61FA3A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1803-0B80-4BBD-AE13-56BB9CBBC568}">
  <dimension ref="A1:BL258"/>
  <sheetViews>
    <sheetView topLeftCell="A11" workbookViewId="0">
      <selection activeCell="BK15" sqref="BK15"/>
    </sheetView>
  </sheetViews>
  <sheetFormatPr baseColWidth="10" defaultRowHeight="15" x14ac:dyDescent="0.25"/>
  <cols>
    <col min="1" max="1" width="11" style="70" customWidth="1"/>
    <col min="2" max="2" width="13" style="71" customWidth="1"/>
    <col min="3" max="3" width="5.28515625" style="71" customWidth="1"/>
    <col min="4" max="4" width="12.42578125" style="72" customWidth="1"/>
    <col min="5" max="7" width="12.42578125" style="73" customWidth="1"/>
    <col min="8" max="8" width="12.42578125" style="81" customWidth="1"/>
    <col min="9" max="12" width="12.42578125" style="71" customWidth="1"/>
    <col min="13" max="13" width="12.42578125" style="82" customWidth="1"/>
    <col min="14" max="16" width="12.42578125" style="71" customWidth="1"/>
    <col min="17" max="17" width="12.42578125" style="73" customWidth="1"/>
    <col min="18" max="18" width="12.42578125" style="71" customWidth="1"/>
    <col min="19" max="20" width="12.42578125" style="75" customWidth="1"/>
    <col min="21" max="36" width="12.42578125" style="71" customWidth="1"/>
    <col min="37" max="55" width="12.42578125" style="75" customWidth="1"/>
    <col min="56" max="56" width="13.42578125" style="75" customWidth="1"/>
    <col min="57" max="57" width="10.5703125" style="75" customWidth="1"/>
    <col min="58" max="58" width="13.7109375" style="75" customWidth="1"/>
    <col min="59" max="59" width="11.85546875" style="75" customWidth="1"/>
    <col min="60" max="62" width="13.28515625" style="75" customWidth="1"/>
    <col min="63" max="64" width="42.7109375" style="75" customWidth="1"/>
  </cols>
  <sheetData>
    <row r="1" spans="1:64" x14ac:dyDescent="0.25">
      <c r="A1" s="85">
        <v>1</v>
      </c>
      <c r="B1" s="86">
        <v>2</v>
      </c>
      <c r="C1" s="86"/>
      <c r="D1" s="85">
        <v>4</v>
      </c>
      <c r="E1" s="86">
        <v>5</v>
      </c>
      <c r="F1" s="86">
        <v>6</v>
      </c>
      <c r="G1" s="85">
        <v>7</v>
      </c>
      <c r="H1" s="86">
        <v>8</v>
      </c>
      <c r="I1" s="86">
        <v>9</v>
      </c>
      <c r="J1" s="85">
        <v>10</v>
      </c>
      <c r="K1" s="86">
        <v>11</v>
      </c>
      <c r="L1" s="86">
        <v>12</v>
      </c>
      <c r="M1" s="85">
        <v>13</v>
      </c>
      <c r="N1" s="86">
        <v>14</v>
      </c>
      <c r="O1" s="86"/>
      <c r="P1" s="86">
        <v>15</v>
      </c>
      <c r="Q1" s="85">
        <v>16</v>
      </c>
      <c r="R1" s="86">
        <v>17</v>
      </c>
      <c r="S1" s="86">
        <v>18</v>
      </c>
      <c r="T1" s="85">
        <v>19</v>
      </c>
      <c r="U1" s="86">
        <v>20</v>
      </c>
      <c r="V1" s="86">
        <v>21</v>
      </c>
      <c r="W1" s="85">
        <v>22</v>
      </c>
      <c r="X1" s="86">
        <v>23</v>
      </c>
      <c r="Y1" s="86">
        <v>24</v>
      </c>
      <c r="Z1" s="85">
        <v>25</v>
      </c>
      <c r="AA1" s="86">
        <v>26</v>
      </c>
      <c r="AB1" s="86">
        <v>27</v>
      </c>
      <c r="AC1" s="85">
        <v>28</v>
      </c>
      <c r="AD1" s="86">
        <v>29</v>
      </c>
      <c r="AE1" s="86">
        <v>30</v>
      </c>
      <c r="AF1" s="85">
        <v>31</v>
      </c>
      <c r="AG1" s="86">
        <v>32</v>
      </c>
      <c r="AH1" s="86">
        <v>33</v>
      </c>
      <c r="AI1" s="85">
        <v>34</v>
      </c>
      <c r="AJ1" s="86">
        <v>35</v>
      </c>
      <c r="AK1" s="86">
        <v>36</v>
      </c>
      <c r="AL1" s="85">
        <v>37</v>
      </c>
      <c r="AM1" s="86">
        <v>38</v>
      </c>
      <c r="AN1" s="86">
        <v>39</v>
      </c>
      <c r="AO1" s="85">
        <v>40</v>
      </c>
      <c r="AP1" s="86">
        <v>41</v>
      </c>
      <c r="AQ1" s="86">
        <v>42</v>
      </c>
      <c r="AR1" s="85">
        <v>43</v>
      </c>
      <c r="AS1" s="86">
        <v>44</v>
      </c>
      <c r="AT1" s="86">
        <v>45</v>
      </c>
      <c r="AU1" s="85">
        <v>46</v>
      </c>
      <c r="AV1" s="86">
        <v>47</v>
      </c>
      <c r="AW1" s="86">
        <v>48</v>
      </c>
      <c r="AX1" s="85">
        <v>49</v>
      </c>
      <c r="AY1" s="86">
        <v>50</v>
      </c>
      <c r="AZ1" s="86">
        <v>51</v>
      </c>
      <c r="BA1" s="85">
        <v>52</v>
      </c>
      <c r="BB1" s="86">
        <v>53</v>
      </c>
      <c r="BC1" s="86">
        <v>54</v>
      </c>
      <c r="BD1" s="85">
        <v>55</v>
      </c>
      <c r="BE1" s="85"/>
      <c r="BF1" s="85"/>
      <c r="BG1" s="85"/>
      <c r="BH1" s="85"/>
      <c r="BI1" s="85"/>
      <c r="BJ1" s="85"/>
      <c r="BK1" s="86">
        <v>56</v>
      </c>
      <c r="BL1" s="86"/>
    </row>
    <row r="2" spans="1:64" ht="40.5" x14ac:dyDescent="0.25">
      <c r="A2" s="51" t="s">
        <v>3</v>
      </c>
      <c r="B2" s="52" t="s">
        <v>128</v>
      </c>
      <c r="C2" s="51" t="s">
        <v>407</v>
      </c>
      <c r="D2" s="53" t="s">
        <v>129</v>
      </c>
      <c r="E2" s="54" t="s">
        <v>130</v>
      </c>
      <c r="F2" s="87" t="s">
        <v>131</v>
      </c>
      <c r="G2" s="54" t="s">
        <v>132</v>
      </c>
      <c r="H2" s="52" t="s">
        <v>408</v>
      </c>
      <c r="I2" s="54" t="s">
        <v>409</v>
      </c>
      <c r="J2" s="52" t="s">
        <v>410</v>
      </c>
      <c r="K2" s="54" t="s">
        <v>411</v>
      </c>
      <c r="L2" s="52" t="s">
        <v>412</v>
      </c>
      <c r="M2" s="88" t="s">
        <v>413</v>
      </c>
      <c r="N2" s="51" t="s">
        <v>414</v>
      </c>
      <c r="O2" s="88" t="s">
        <v>464</v>
      </c>
      <c r="P2" s="88" t="s">
        <v>415</v>
      </c>
      <c r="Q2" s="89" t="s">
        <v>416</v>
      </c>
      <c r="R2" s="51" t="s">
        <v>417</v>
      </c>
      <c r="S2" s="90" t="s">
        <v>418</v>
      </c>
      <c r="T2" s="90" t="s">
        <v>419</v>
      </c>
      <c r="U2" s="91" t="s">
        <v>420</v>
      </c>
      <c r="V2" s="91" t="s">
        <v>421</v>
      </c>
      <c r="W2" s="90" t="s">
        <v>422</v>
      </c>
      <c r="X2" s="90" t="s">
        <v>423</v>
      </c>
      <c r="Y2" s="92" t="s">
        <v>424</v>
      </c>
      <c r="Z2" s="91" t="s">
        <v>425</v>
      </c>
      <c r="AA2" s="90" t="s">
        <v>426</v>
      </c>
      <c r="AB2" s="90" t="s">
        <v>427</v>
      </c>
      <c r="AC2" s="92" t="s">
        <v>428</v>
      </c>
      <c r="AD2" s="91" t="s">
        <v>429</v>
      </c>
      <c r="AE2" s="90" t="s">
        <v>430</v>
      </c>
      <c r="AF2" s="90" t="s">
        <v>431</v>
      </c>
      <c r="AG2" s="92" t="s">
        <v>432</v>
      </c>
      <c r="AH2" s="91" t="s">
        <v>433</v>
      </c>
      <c r="AI2" s="90" t="s">
        <v>434</v>
      </c>
      <c r="AJ2" s="90" t="s">
        <v>435</v>
      </c>
      <c r="AK2" s="92" t="s">
        <v>436</v>
      </c>
      <c r="AL2" s="91" t="s">
        <v>437</v>
      </c>
      <c r="AM2" s="90" t="s">
        <v>438</v>
      </c>
      <c r="AN2" s="90" t="s">
        <v>439</v>
      </c>
      <c r="AO2" s="92" t="s">
        <v>440</v>
      </c>
      <c r="AP2" s="91" t="s">
        <v>441</v>
      </c>
      <c r="AQ2" s="90" t="s">
        <v>442</v>
      </c>
      <c r="AR2" s="90" t="s">
        <v>443</v>
      </c>
      <c r="AS2" s="92" t="s">
        <v>444</v>
      </c>
      <c r="AT2" s="91" t="s">
        <v>445</v>
      </c>
      <c r="AU2" s="90" t="s">
        <v>446</v>
      </c>
      <c r="AV2" s="90" t="s">
        <v>447</v>
      </c>
      <c r="AW2" s="92" t="s">
        <v>448</v>
      </c>
      <c r="AX2" s="91" t="s">
        <v>449</v>
      </c>
      <c r="AY2" s="90" t="s">
        <v>450</v>
      </c>
      <c r="AZ2" s="90" t="s">
        <v>451</v>
      </c>
      <c r="BA2" s="92" t="s">
        <v>452</v>
      </c>
      <c r="BB2" s="91" t="s">
        <v>453</v>
      </c>
      <c r="BC2" s="90" t="s">
        <v>454</v>
      </c>
      <c r="BD2" s="90" t="s">
        <v>455</v>
      </c>
      <c r="BE2" s="92" t="s">
        <v>456</v>
      </c>
      <c r="BF2" s="90" t="s">
        <v>457</v>
      </c>
      <c r="BG2" s="92" t="s">
        <v>458</v>
      </c>
      <c r="BH2" s="90" t="s">
        <v>459</v>
      </c>
      <c r="BI2" s="92" t="s">
        <v>460</v>
      </c>
      <c r="BJ2" s="90" t="s">
        <v>461</v>
      </c>
      <c r="BK2" s="93" t="s">
        <v>462</v>
      </c>
      <c r="BL2" s="93" t="s">
        <v>463</v>
      </c>
    </row>
    <row r="3" spans="1:64" x14ac:dyDescent="0.25">
      <c r="A3" s="70">
        <v>3186207</v>
      </c>
      <c r="B3" s="71" t="s">
        <v>190</v>
      </c>
      <c r="C3" s="71">
        <v>71</v>
      </c>
      <c r="D3" s="72" t="s">
        <v>87</v>
      </c>
      <c r="E3" s="73" t="s">
        <v>88</v>
      </c>
      <c r="F3" s="74">
        <v>46021</v>
      </c>
      <c r="G3" s="73" t="s">
        <v>89</v>
      </c>
      <c r="H3" s="73"/>
      <c r="K3" s="71" t="s">
        <v>191</v>
      </c>
      <c r="M3" s="70" t="s">
        <v>191</v>
      </c>
      <c r="O3" s="71" t="e">
        <f>VLOOKUP(A3,Hoja4!$A$2:$B$247,2,FALSE)</f>
        <v>#N/A</v>
      </c>
      <c r="P3" s="71" t="s">
        <v>192</v>
      </c>
      <c r="Q3" s="73" t="s">
        <v>193</v>
      </c>
      <c r="U3" s="75"/>
      <c r="W3" s="75"/>
      <c r="Y3" s="75"/>
      <c r="AC3" s="75"/>
      <c r="AG3" s="71" t="s">
        <v>194</v>
      </c>
      <c r="AH3" s="76" t="s">
        <v>195</v>
      </c>
      <c r="AI3" s="71" t="s">
        <v>196</v>
      </c>
      <c r="AJ3" s="71" t="s">
        <v>197</v>
      </c>
      <c r="AK3" s="71" t="s">
        <v>198</v>
      </c>
      <c r="AL3" s="75" t="s">
        <v>199</v>
      </c>
      <c r="AM3" s="71" t="s">
        <v>200</v>
      </c>
      <c r="AN3" s="71" t="s">
        <v>201</v>
      </c>
      <c r="AO3" s="71" t="s">
        <v>202</v>
      </c>
      <c r="AP3" s="71" t="s">
        <v>203</v>
      </c>
      <c r="AQ3" s="71"/>
      <c r="AS3" s="71" t="s">
        <v>204</v>
      </c>
      <c r="AT3" s="75" t="s">
        <v>205</v>
      </c>
      <c r="AU3" s="75" t="s">
        <v>206</v>
      </c>
      <c r="AV3" s="75" t="s">
        <v>207</v>
      </c>
      <c r="AW3" s="75" t="s">
        <v>208</v>
      </c>
      <c r="AX3" s="75" t="str">
        <f t="shared" ref="AX3:AX34" si="0">IFERROR(VLOOKUP(A3,_p7_2025,2,FALSE),"")</f>
        <v>HECTOR ANDRES CIPAMOCHA CENTENO</v>
      </c>
      <c r="BA3" s="75" t="s">
        <v>209</v>
      </c>
      <c r="BB3" s="75" t="str">
        <f t="shared" ref="BB3:BB17" si="1">VLOOKUP(A3,_p8_2025,2,FALSE)</f>
        <v>ESTEFANIA SANDOVAL CRUZ</v>
      </c>
      <c r="BK3" s="71"/>
      <c r="BL3" s="71"/>
    </row>
    <row r="4" spans="1:64" x14ac:dyDescent="0.25">
      <c r="A4" s="70">
        <v>3186220</v>
      </c>
      <c r="B4" s="71" t="s">
        <v>190</v>
      </c>
      <c r="C4" s="71">
        <v>90</v>
      </c>
      <c r="D4" s="72" t="s">
        <v>90</v>
      </c>
      <c r="E4" s="73" t="s">
        <v>88</v>
      </c>
      <c r="F4" s="74">
        <v>46021</v>
      </c>
      <c r="G4" s="73" t="s">
        <v>89</v>
      </c>
      <c r="H4" s="73"/>
      <c r="K4" s="71" t="s">
        <v>210</v>
      </c>
      <c r="M4" s="70" t="s">
        <v>211</v>
      </c>
      <c r="O4" s="71" t="e">
        <f>VLOOKUP(A4,Hoja4!$A$2:$B$247,2,FALSE)</f>
        <v>#N/A</v>
      </c>
      <c r="P4" s="71" t="s">
        <v>192</v>
      </c>
      <c r="Q4" s="73" t="s">
        <v>212</v>
      </c>
      <c r="U4" s="75"/>
      <c r="W4" s="75"/>
      <c r="Y4" s="75"/>
      <c r="AC4" s="75"/>
      <c r="AG4" s="71" t="s">
        <v>206</v>
      </c>
      <c r="AH4" s="76" t="s">
        <v>213</v>
      </c>
      <c r="AI4" s="71" t="s">
        <v>196</v>
      </c>
      <c r="AJ4" s="71" t="s">
        <v>197</v>
      </c>
      <c r="AK4" s="71" t="s">
        <v>200</v>
      </c>
      <c r="AL4" s="75" t="s">
        <v>214</v>
      </c>
      <c r="AM4" s="71" t="s">
        <v>198</v>
      </c>
      <c r="AN4" s="71" t="s">
        <v>215</v>
      </c>
      <c r="AO4" s="71" t="s">
        <v>202</v>
      </c>
      <c r="AP4" s="71" t="s">
        <v>216</v>
      </c>
      <c r="AQ4" s="71"/>
      <c r="AS4" s="71" t="s">
        <v>204</v>
      </c>
      <c r="AT4" s="75" t="s">
        <v>217</v>
      </c>
      <c r="AV4" s="75" t="s">
        <v>218</v>
      </c>
      <c r="AW4" s="75" t="s">
        <v>209</v>
      </c>
      <c r="AX4" s="75" t="str">
        <f t="shared" si="0"/>
        <v>ESTEFANIA SANDOVAL CRUZ</v>
      </c>
      <c r="BA4" s="75" t="s">
        <v>208</v>
      </c>
      <c r="BB4" s="75" t="str">
        <f t="shared" si="1"/>
        <v>HECTOR ANDRES CIPAMOCHA CENTENO</v>
      </c>
      <c r="BK4" s="71"/>
      <c r="BL4" s="71"/>
    </row>
    <row r="5" spans="1:64" x14ac:dyDescent="0.25">
      <c r="A5" s="70">
        <v>3186221</v>
      </c>
      <c r="B5" s="71" t="s">
        <v>190</v>
      </c>
      <c r="C5" s="71">
        <v>58</v>
      </c>
      <c r="D5" s="72" t="s">
        <v>90</v>
      </c>
      <c r="E5" s="73" t="s">
        <v>88</v>
      </c>
      <c r="F5" s="74">
        <v>46021</v>
      </c>
      <c r="G5" s="73" t="s">
        <v>89</v>
      </c>
      <c r="H5" s="73"/>
      <c r="K5" s="71" t="s">
        <v>210</v>
      </c>
      <c r="M5" s="70" t="s">
        <v>211</v>
      </c>
      <c r="O5" s="71" t="e">
        <f>VLOOKUP(A5,Hoja4!$A$2:$B$247,2,FALSE)</f>
        <v>#N/A</v>
      </c>
      <c r="P5" s="71" t="s">
        <v>192</v>
      </c>
      <c r="Q5" s="73" t="s">
        <v>212</v>
      </c>
      <c r="U5" s="75"/>
      <c r="W5" s="75"/>
      <c r="Y5" s="75"/>
      <c r="AC5" s="75"/>
      <c r="AG5" s="71" t="s">
        <v>206</v>
      </c>
      <c r="AH5" s="76" t="s">
        <v>213</v>
      </c>
      <c r="AI5" s="71" t="s">
        <v>196</v>
      </c>
      <c r="AJ5" s="71" t="s">
        <v>219</v>
      </c>
      <c r="AK5" s="71" t="s">
        <v>200</v>
      </c>
      <c r="AL5" s="75" t="s">
        <v>220</v>
      </c>
      <c r="AM5" s="71" t="s">
        <v>198</v>
      </c>
      <c r="AN5" s="71" t="s">
        <v>215</v>
      </c>
      <c r="AO5" s="71" t="s">
        <v>202</v>
      </c>
      <c r="AP5" s="71" t="s">
        <v>216</v>
      </c>
      <c r="AQ5" s="71"/>
      <c r="AS5" s="71" t="s">
        <v>204</v>
      </c>
      <c r="AT5" s="75" t="s">
        <v>221</v>
      </c>
      <c r="AV5" s="75" t="s">
        <v>218</v>
      </c>
      <c r="AW5" s="75" t="s">
        <v>209</v>
      </c>
      <c r="AX5" s="75" t="str">
        <f t="shared" si="0"/>
        <v>ALBERTO ANTONIO TAPIA TORRES</v>
      </c>
      <c r="BA5" s="75" t="s">
        <v>208</v>
      </c>
      <c r="BB5" s="75" t="str">
        <f t="shared" si="1"/>
        <v>HECTOR ANDRES CIPAMOCHA CENTENO</v>
      </c>
      <c r="BK5" s="71"/>
      <c r="BL5" s="71"/>
    </row>
    <row r="6" spans="1:64" x14ac:dyDescent="0.25">
      <c r="A6" s="70">
        <v>3186222</v>
      </c>
      <c r="B6" s="71" t="s">
        <v>190</v>
      </c>
      <c r="C6" s="71">
        <v>64</v>
      </c>
      <c r="D6" s="72" t="s">
        <v>90</v>
      </c>
      <c r="E6" s="73" t="s">
        <v>88</v>
      </c>
      <c r="F6" s="74">
        <v>46021</v>
      </c>
      <c r="G6" s="73" t="s">
        <v>89</v>
      </c>
      <c r="H6" s="73"/>
      <c r="K6" s="71" t="s">
        <v>210</v>
      </c>
      <c r="M6" s="70" t="s">
        <v>211</v>
      </c>
      <c r="O6" s="71" t="e">
        <f>VLOOKUP(A6,Hoja4!$A$2:$B$247,2,FALSE)</f>
        <v>#N/A</v>
      </c>
      <c r="P6" s="71" t="s">
        <v>192</v>
      </c>
      <c r="Q6" s="73" t="s">
        <v>212</v>
      </c>
      <c r="U6" s="75"/>
      <c r="W6" s="75"/>
      <c r="Y6" s="75"/>
      <c r="AC6" s="75"/>
      <c r="AG6" s="71" t="s">
        <v>206</v>
      </c>
      <c r="AH6" s="76" t="s">
        <v>213</v>
      </c>
      <c r="AI6" s="71" t="s">
        <v>196</v>
      </c>
      <c r="AJ6" s="71" t="s">
        <v>219</v>
      </c>
      <c r="AK6" s="71" t="s">
        <v>200</v>
      </c>
      <c r="AL6" s="75" t="s">
        <v>220</v>
      </c>
      <c r="AM6" s="71" t="s">
        <v>198</v>
      </c>
      <c r="AN6" s="71" t="s">
        <v>215</v>
      </c>
      <c r="AO6" s="71" t="s">
        <v>202</v>
      </c>
      <c r="AP6" s="71" t="s">
        <v>216</v>
      </c>
      <c r="AQ6" s="71"/>
      <c r="AS6" s="71" t="s">
        <v>204</v>
      </c>
      <c r="AT6" s="75" t="s">
        <v>217</v>
      </c>
      <c r="AV6" s="75" t="s">
        <v>218</v>
      </c>
      <c r="AW6" s="75" t="s">
        <v>209</v>
      </c>
      <c r="AX6" s="75" t="str">
        <f t="shared" si="0"/>
        <v>ESTEFANIA SANDOVAL CRUZ</v>
      </c>
      <c r="BA6" s="75" t="s">
        <v>208</v>
      </c>
      <c r="BB6" s="75" t="str">
        <f t="shared" si="1"/>
        <v>MARIA CAROLINA GOMEZ CALLE</v>
      </c>
      <c r="BK6" s="71"/>
      <c r="BL6" s="71"/>
    </row>
    <row r="7" spans="1:64" x14ac:dyDescent="0.25">
      <c r="A7" s="70">
        <v>3186281</v>
      </c>
      <c r="B7" s="71" t="s">
        <v>190</v>
      </c>
      <c r="C7" s="71">
        <v>70</v>
      </c>
      <c r="D7" s="72" t="s">
        <v>91</v>
      </c>
      <c r="E7" s="73" t="s">
        <v>88</v>
      </c>
      <c r="F7" s="74">
        <v>46021</v>
      </c>
      <c r="G7" s="73" t="s">
        <v>89</v>
      </c>
      <c r="H7" s="73"/>
      <c r="K7" s="71" t="s">
        <v>222</v>
      </c>
      <c r="M7" s="70" t="s">
        <v>222</v>
      </c>
      <c r="O7" s="71" t="e">
        <f>VLOOKUP(A7,Hoja4!$A$2:$B$247,2,FALSE)</f>
        <v>#N/A</v>
      </c>
      <c r="P7" s="71" t="s">
        <v>223</v>
      </c>
      <c r="Q7" s="73" t="s">
        <v>224</v>
      </c>
      <c r="U7" s="75"/>
      <c r="W7" s="75"/>
      <c r="Y7" s="75"/>
      <c r="AC7" s="75"/>
      <c r="AG7" s="71" t="s">
        <v>198</v>
      </c>
      <c r="AH7" s="76" t="s">
        <v>225</v>
      </c>
      <c r="AI7" s="71" t="s">
        <v>200</v>
      </c>
      <c r="AJ7" s="71" t="s">
        <v>201</v>
      </c>
      <c r="AK7" s="71" t="s">
        <v>204</v>
      </c>
      <c r="AL7" s="75" t="s">
        <v>217</v>
      </c>
      <c r="AM7" s="71" t="s">
        <v>202</v>
      </c>
      <c r="AN7" s="71" t="s">
        <v>203</v>
      </c>
      <c r="AO7" s="71" t="s">
        <v>209</v>
      </c>
      <c r="AP7" s="71" t="s">
        <v>226</v>
      </c>
      <c r="AQ7" s="71"/>
      <c r="AS7" s="71" t="s">
        <v>206</v>
      </c>
      <c r="AT7" s="75" t="s">
        <v>207</v>
      </c>
      <c r="AV7" s="75" t="s">
        <v>218</v>
      </c>
      <c r="AW7" s="75" t="s">
        <v>208</v>
      </c>
      <c r="AX7" s="75" t="str">
        <f t="shared" si="0"/>
        <v>LAURA STHEPHANIA SANCHEZ PABON</v>
      </c>
      <c r="BA7" s="75" t="s">
        <v>196</v>
      </c>
      <c r="BB7" s="75" t="str">
        <f t="shared" si="1"/>
        <v>CESAR AUGUSTO BERMEO</v>
      </c>
      <c r="BK7" s="71"/>
      <c r="BL7" s="71"/>
    </row>
    <row r="8" spans="1:64" x14ac:dyDescent="0.25">
      <c r="A8" s="70">
        <v>3186282</v>
      </c>
      <c r="B8" s="71" t="s">
        <v>190</v>
      </c>
      <c r="C8" s="71">
        <v>68</v>
      </c>
      <c r="D8" s="72" t="s">
        <v>91</v>
      </c>
      <c r="E8" s="73" t="s">
        <v>88</v>
      </c>
      <c r="F8" s="74">
        <v>46021</v>
      </c>
      <c r="G8" s="73" t="s">
        <v>89</v>
      </c>
      <c r="H8" s="73"/>
      <c r="K8" s="71" t="s">
        <v>222</v>
      </c>
      <c r="M8" s="70" t="s">
        <v>222</v>
      </c>
      <c r="O8" s="71" t="e">
        <f>VLOOKUP(A8,Hoja4!$A$2:$B$247,2,FALSE)</f>
        <v>#N/A</v>
      </c>
      <c r="P8" s="71" t="s">
        <v>223</v>
      </c>
      <c r="Q8" s="73" t="s">
        <v>224</v>
      </c>
      <c r="U8" s="75"/>
      <c r="W8" s="75"/>
      <c r="Y8" s="75"/>
      <c r="AC8" s="75"/>
      <c r="AG8" s="71" t="s">
        <v>198</v>
      </c>
      <c r="AH8" s="76" t="s">
        <v>225</v>
      </c>
      <c r="AI8" s="71" t="s">
        <v>200</v>
      </c>
      <c r="AJ8" s="71" t="s">
        <v>201</v>
      </c>
      <c r="AK8" s="71" t="s">
        <v>204</v>
      </c>
      <c r="AL8" s="75" t="s">
        <v>205</v>
      </c>
      <c r="AM8" s="71" t="s">
        <v>202</v>
      </c>
      <c r="AN8" s="71" t="s">
        <v>203</v>
      </c>
      <c r="AO8" s="71" t="s">
        <v>209</v>
      </c>
      <c r="AP8" s="71" t="s">
        <v>226</v>
      </c>
      <c r="AQ8" s="71"/>
      <c r="AS8" s="71" t="s">
        <v>206</v>
      </c>
      <c r="AT8" s="75" t="s">
        <v>227</v>
      </c>
      <c r="AV8" s="75" t="s">
        <v>218</v>
      </c>
      <c r="AW8" s="75" t="s">
        <v>208</v>
      </c>
      <c r="AX8" s="75" t="str">
        <f t="shared" si="0"/>
        <v>LAURA STHEPHANIA SANCHEZ PABON</v>
      </c>
      <c r="BA8" s="75" t="s">
        <v>196</v>
      </c>
      <c r="BB8" s="75" t="str">
        <f t="shared" si="1"/>
        <v>CESAR AUGUSTO BERMEO</v>
      </c>
      <c r="BK8" s="71"/>
      <c r="BL8" s="71"/>
    </row>
    <row r="9" spans="1:64" x14ac:dyDescent="0.25">
      <c r="A9" s="70">
        <v>3186283</v>
      </c>
      <c r="B9" s="71" t="s">
        <v>190</v>
      </c>
      <c r="C9" s="71">
        <v>64</v>
      </c>
      <c r="D9" s="72" t="s">
        <v>91</v>
      </c>
      <c r="E9" s="73" t="s">
        <v>88</v>
      </c>
      <c r="F9" s="74">
        <v>46021</v>
      </c>
      <c r="G9" s="73" t="s">
        <v>89</v>
      </c>
      <c r="H9" s="73"/>
      <c r="K9" s="71" t="s">
        <v>222</v>
      </c>
      <c r="M9" s="70" t="s">
        <v>222</v>
      </c>
      <c r="O9" s="71" t="e">
        <f>VLOOKUP(A9,Hoja4!$A$2:$B$247,2,FALSE)</f>
        <v>#N/A</v>
      </c>
      <c r="P9" s="71" t="s">
        <v>223</v>
      </c>
      <c r="Q9" s="73" t="s">
        <v>224</v>
      </c>
      <c r="U9" s="75"/>
      <c r="W9" s="75"/>
      <c r="Y9" s="75"/>
      <c r="AC9" s="75"/>
      <c r="AG9" s="71" t="s">
        <v>198</v>
      </c>
      <c r="AH9" s="76" t="s">
        <v>225</v>
      </c>
      <c r="AI9" s="71" t="s">
        <v>200</v>
      </c>
      <c r="AJ9" s="71" t="s">
        <v>201</v>
      </c>
      <c r="AK9" s="71" t="s">
        <v>204</v>
      </c>
      <c r="AL9" s="75" t="s">
        <v>221</v>
      </c>
      <c r="AM9" s="71" t="s">
        <v>202</v>
      </c>
      <c r="AN9" s="71" t="s">
        <v>203</v>
      </c>
      <c r="AO9" s="71" t="s">
        <v>209</v>
      </c>
      <c r="AP9" s="71" t="s">
        <v>228</v>
      </c>
      <c r="AQ9" s="71"/>
      <c r="AS9" s="71" t="s">
        <v>206</v>
      </c>
      <c r="AT9" s="75" t="s">
        <v>227</v>
      </c>
      <c r="AV9" s="75" t="s">
        <v>218</v>
      </c>
      <c r="AW9" s="75" t="s">
        <v>208</v>
      </c>
      <c r="AX9" s="75" t="str">
        <f t="shared" si="0"/>
        <v>MARIA CAROLINA GOMEZ CALLE</v>
      </c>
      <c r="BA9" s="75" t="s">
        <v>196</v>
      </c>
      <c r="BB9" s="75" t="str">
        <f t="shared" si="1"/>
        <v>JORGE ARMANDO PIEDRAHITA</v>
      </c>
      <c r="BK9" s="71"/>
      <c r="BL9" s="71"/>
    </row>
    <row r="10" spans="1:64" x14ac:dyDescent="0.25">
      <c r="A10" s="70">
        <v>3186284</v>
      </c>
      <c r="B10" s="71" t="s">
        <v>190</v>
      </c>
      <c r="C10" s="71">
        <v>70</v>
      </c>
      <c r="D10" s="72" t="s">
        <v>91</v>
      </c>
      <c r="E10" s="73" t="s">
        <v>88</v>
      </c>
      <c r="F10" s="74">
        <v>46021</v>
      </c>
      <c r="G10" s="73" t="s">
        <v>89</v>
      </c>
      <c r="H10" s="73"/>
      <c r="K10" s="71" t="s">
        <v>229</v>
      </c>
      <c r="L10" s="71" t="s">
        <v>229</v>
      </c>
      <c r="M10" s="70" t="s">
        <v>230</v>
      </c>
      <c r="O10" s="71" t="e">
        <f>VLOOKUP(A10,Hoja4!$A$2:$B$247,2,FALSE)</f>
        <v>#N/A</v>
      </c>
      <c r="P10" s="71" t="s">
        <v>223</v>
      </c>
      <c r="Q10" s="73" t="s">
        <v>224</v>
      </c>
      <c r="U10" s="75"/>
      <c r="W10" s="75"/>
      <c r="Y10" s="75"/>
      <c r="AC10" s="75"/>
      <c r="AG10" s="71" t="s">
        <v>198</v>
      </c>
      <c r="AH10" s="76" t="s">
        <v>225</v>
      </c>
      <c r="AI10" s="71" t="s">
        <v>200</v>
      </c>
      <c r="AJ10" s="71" t="s">
        <v>201</v>
      </c>
      <c r="AK10" s="71" t="s">
        <v>204</v>
      </c>
      <c r="AL10" s="75" t="s">
        <v>217</v>
      </c>
      <c r="AM10" s="71" t="s">
        <v>202</v>
      </c>
      <c r="AN10" s="71" t="s">
        <v>216</v>
      </c>
      <c r="AO10" s="71" t="s">
        <v>209</v>
      </c>
      <c r="AP10" s="71" t="s">
        <v>228</v>
      </c>
      <c r="AQ10" s="71"/>
      <c r="AS10" s="71" t="s">
        <v>206</v>
      </c>
      <c r="AT10" s="75" t="s">
        <v>213</v>
      </c>
      <c r="AV10" s="75" t="s">
        <v>218</v>
      </c>
      <c r="AW10" s="75" t="s">
        <v>208</v>
      </c>
      <c r="AX10" s="75" t="str">
        <f t="shared" si="0"/>
        <v>MARIA CAROLINA GOMEZ CALLE</v>
      </c>
      <c r="BA10" s="75" t="s">
        <v>196</v>
      </c>
      <c r="BB10" s="75" t="str">
        <f t="shared" si="1"/>
        <v>JORGE ARMANDO PIEDRAHITA</v>
      </c>
      <c r="BK10" s="71"/>
      <c r="BL10" s="71"/>
    </row>
    <row r="11" spans="1:64" x14ac:dyDescent="0.25">
      <c r="A11" s="70">
        <v>3186285</v>
      </c>
      <c r="B11" s="71" t="s">
        <v>190</v>
      </c>
      <c r="C11" s="71">
        <v>76</v>
      </c>
      <c r="D11" s="72" t="s">
        <v>91</v>
      </c>
      <c r="E11" s="73" t="s">
        <v>88</v>
      </c>
      <c r="F11" s="74">
        <v>46021</v>
      </c>
      <c r="G11" s="73" t="s">
        <v>89</v>
      </c>
      <c r="H11" s="73"/>
      <c r="K11" s="71" t="s">
        <v>229</v>
      </c>
      <c r="L11" s="71" t="s">
        <v>229</v>
      </c>
      <c r="M11" s="70" t="s">
        <v>230</v>
      </c>
      <c r="O11" s="71" t="e">
        <f>VLOOKUP(A11,Hoja4!$A$2:$B$247,2,FALSE)</f>
        <v>#N/A</v>
      </c>
      <c r="P11" s="71" t="s">
        <v>231</v>
      </c>
      <c r="Q11" s="73" t="s">
        <v>224</v>
      </c>
      <c r="U11" s="75"/>
      <c r="W11" s="75"/>
      <c r="Y11" s="75"/>
      <c r="AC11" s="75"/>
      <c r="AG11" s="71" t="s">
        <v>198</v>
      </c>
      <c r="AH11" s="76" t="s">
        <v>225</v>
      </c>
      <c r="AI11" s="71" t="s">
        <v>200</v>
      </c>
      <c r="AJ11" s="71" t="s">
        <v>201</v>
      </c>
      <c r="AK11" s="71" t="s">
        <v>204</v>
      </c>
      <c r="AL11" s="75" t="s">
        <v>221</v>
      </c>
      <c r="AM11" s="71" t="s">
        <v>202</v>
      </c>
      <c r="AN11" s="71" t="s">
        <v>216</v>
      </c>
      <c r="AO11" s="71" t="s">
        <v>209</v>
      </c>
      <c r="AP11" s="71" t="s">
        <v>228</v>
      </c>
      <c r="AQ11" s="71"/>
      <c r="AS11" s="71" t="s">
        <v>206</v>
      </c>
      <c r="AT11" s="75" t="s">
        <v>227</v>
      </c>
      <c r="AV11" s="75" t="s">
        <v>218</v>
      </c>
      <c r="AW11" s="75" t="s">
        <v>196</v>
      </c>
      <c r="AX11" s="75" t="str">
        <f t="shared" si="0"/>
        <v>CESAR AUGUSTO BERMEO</v>
      </c>
      <c r="BA11" s="75" t="s">
        <v>208</v>
      </c>
      <c r="BB11" s="75" t="str">
        <f t="shared" si="1"/>
        <v>LAURA STHEPHANIA SANCHEZ PABON</v>
      </c>
      <c r="BK11" s="71"/>
      <c r="BL11" s="71"/>
    </row>
    <row r="12" spans="1:64" x14ac:dyDescent="0.25">
      <c r="A12" s="70">
        <v>3186303</v>
      </c>
      <c r="B12" s="71" t="s">
        <v>190</v>
      </c>
      <c r="C12" s="71">
        <v>57</v>
      </c>
      <c r="D12" s="72" t="s">
        <v>92</v>
      </c>
      <c r="E12" s="73" t="s">
        <v>88</v>
      </c>
      <c r="F12" s="74">
        <v>46021</v>
      </c>
      <c r="G12" s="73" t="s">
        <v>89</v>
      </c>
      <c r="H12" s="73"/>
      <c r="K12" s="71" t="s">
        <v>229</v>
      </c>
      <c r="M12" s="70" t="s">
        <v>232</v>
      </c>
      <c r="O12" s="71" t="e">
        <f>VLOOKUP(A12,Hoja4!$A$2:$B$247,2,FALSE)</f>
        <v>#N/A</v>
      </c>
      <c r="P12" s="71" t="s">
        <v>233</v>
      </c>
      <c r="Q12" s="73" t="s">
        <v>234</v>
      </c>
      <c r="U12" s="75"/>
      <c r="W12" s="75"/>
      <c r="Y12" s="75"/>
      <c r="AC12" s="75"/>
      <c r="AG12" s="71" t="s">
        <v>206</v>
      </c>
      <c r="AH12" s="76" t="s">
        <v>227</v>
      </c>
      <c r="AI12" s="71" t="s">
        <v>196</v>
      </c>
      <c r="AJ12" s="71" t="s">
        <v>197</v>
      </c>
      <c r="AK12" s="71" t="s">
        <v>202</v>
      </c>
      <c r="AL12" s="75" t="s">
        <v>203</v>
      </c>
      <c r="AM12" s="71" t="s">
        <v>204</v>
      </c>
      <c r="AN12" s="71" t="s">
        <v>205</v>
      </c>
      <c r="AO12" s="71" t="s">
        <v>209</v>
      </c>
      <c r="AP12" s="71" t="s">
        <v>226</v>
      </c>
      <c r="AQ12" s="71"/>
      <c r="AS12" s="71" t="s">
        <v>208</v>
      </c>
      <c r="AT12" s="75" t="s">
        <v>235</v>
      </c>
      <c r="AV12" s="75" t="s">
        <v>218</v>
      </c>
      <c r="AW12" s="75" t="s">
        <v>198</v>
      </c>
      <c r="AX12" s="75" t="str">
        <f t="shared" si="0"/>
        <v>ANGELICA JANETH RODRIGUEZ ALONSO</v>
      </c>
      <c r="BA12" s="75" t="s">
        <v>200</v>
      </c>
      <c r="BB12" s="75" t="str">
        <f t="shared" si="1"/>
        <v>ELKIN DURAN MANCIPE</v>
      </c>
      <c r="BK12" s="71"/>
      <c r="BL12" s="71"/>
    </row>
    <row r="13" spans="1:64" x14ac:dyDescent="0.25">
      <c r="A13" s="70">
        <v>3186304</v>
      </c>
      <c r="B13" s="71" t="s">
        <v>190</v>
      </c>
      <c r="C13" s="71">
        <v>73</v>
      </c>
      <c r="D13" s="72" t="s">
        <v>92</v>
      </c>
      <c r="E13" s="73" t="s">
        <v>88</v>
      </c>
      <c r="F13" s="74">
        <v>46021</v>
      </c>
      <c r="G13" s="73" t="s">
        <v>89</v>
      </c>
      <c r="H13" s="73"/>
      <c r="K13" s="71" t="s">
        <v>229</v>
      </c>
      <c r="M13" s="70" t="s">
        <v>232</v>
      </c>
      <c r="O13" s="71" t="e">
        <f>VLOOKUP(A13,Hoja4!$A$2:$B$247,2,FALSE)</f>
        <v>#N/A</v>
      </c>
      <c r="P13" s="71" t="s">
        <v>233</v>
      </c>
      <c r="Q13" s="73" t="s">
        <v>234</v>
      </c>
      <c r="U13" s="75"/>
      <c r="W13" s="75"/>
      <c r="Y13" s="75"/>
      <c r="AC13" s="75"/>
      <c r="AG13" s="71" t="s">
        <v>206</v>
      </c>
      <c r="AH13" s="76" t="s">
        <v>227</v>
      </c>
      <c r="AI13" s="71" t="s">
        <v>196</v>
      </c>
      <c r="AJ13" s="71" t="s">
        <v>219</v>
      </c>
      <c r="AK13" s="71" t="s">
        <v>202</v>
      </c>
      <c r="AL13" s="75" t="s">
        <v>203</v>
      </c>
      <c r="AM13" s="71" t="s">
        <v>204</v>
      </c>
      <c r="AN13" s="71" t="s">
        <v>217</v>
      </c>
      <c r="AO13" s="71" t="s">
        <v>209</v>
      </c>
      <c r="AP13" s="71" t="s">
        <v>236</v>
      </c>
      <c r="AQ13" s="71"/>
      <c r="AS13" s="71" t="s">
        <v>208</v>
      </c>
      <c r="AT13" s="75" t="s">
        <v>235</v>
      </c>
      <c r="AV13" s="75" t="s">
        <v>218</v>
      </c>
      <c r="AW13" s="75" t="s">
        <v>198</v>
      </c>
      <c r="AX13" s="75" t="str">
        <f t="shared" si="0"/>
        <v>ANGELICA JANETH RODRIGUEZ ALONSO</v>
      </c>
      <c r="BA13" s="75" t="s">
        <v>200</v>
      </c>
      <c r="BB13" s="75" t="str">
        <f t="shared" si="1"/>
        <v>WILDER JULIAN ARIAS HERNANDEZ</v>
      </c>
      <c r="BK13" s="71"/>
      <c r="BL13" s="71"/>
    </row>
    <row r="14" spans="1:64" x14ac:dyDescent="0.25">
      <c r="A14" s="70">
        <v>3186305</v>
      </c>
      <c r="B14" s="71" t="s">
        <v>190</v>
      </c>
      <c r="C14" s="71">
        <v>52</v>
      </c>
      <c r="D14" s="72" t="s">
        <v>92</v>
      </c>
      <c r="E14" s="73" t="s">
        <v>88</v>
      </c>
      <c r="F14" s="74">
        <v>46021</v>
      </c>
      <c r="G14" s="73" t="s">
        <v>89</v>
      </c>
      <c r="H14" s="73"/>
      <c r="K14" s="71" t="s">
        <v>229</v>
      </c>
      <c r="M14" s="70" t="s">
        <v>232</v>
      </c>
      <c r="N14" s="71" t="s">
        <v>237</v>
      </c>
      <c r="O14" s="71" t="e">
        <f>VLOOKUP(A14,Hoja4!$A$2:$B$247,2,FALSE)</f>
        <v>#N/A</v>
      </c>
      <c r="P14" s="71" t="s">
        <v>238</v>
      </c>
      <c r="Q14" s="73" t="s">
        <v>234</v>
      </c>
      <c r="U14" s="75"/>
      <c r="W14" s="75"/>
      <c r="Y14" s="75"/>
      <c r="AC14" s="75"/>
      <c r="AG14" s="71" t="s">
        <v>206</v>
      </c>
      <c r="AH14" s="76" t="s">
        <v>227</v>
      </c>
      <c r="AI14" s="71" t="s">
        <v>196</v>
      </c>
      <c r="AJ14" s="71" t="s">
        <v>219</v>
      </c>
      <c r="AK14" s="71" t="s">
        <v>202</v>
      </c>
      <c r="AL14" s="75" t="s">
        <v>216</v>
      </c>
      <c r="AM14" s="71" t="s">
        <v>204</v>
      </c>
      <c r="AN14" s="71" t="s">
        <v>205</v>
      </c>
      <c r="AO14" s="71" t="s">
        <v>209</v>
      </c>
      <c r="AP14" s="71" t="s">
        <v>236</v>
      </c>
      <c r="AQ14" s="71"/>
      <c r="AS14" s="71" t="s">
        <v>208</v>
      </c>
      <c r="AT14" s="75" t="s">
        <v>239</v>
      </c>
      <c r="AV14" s="75" t="s">
        <v>218</v>
      </c>
      <c r="AW14" s="75" t="s">
        <v>198</v>
      </c>
      <c r="AX14" s="75" t="str">
        <f t="shared" si="0"/>
        <v>CRISTINA CASTAÑO CASTILLO</v>
      </c>
      <c r="BA14" s="75" t="s">
        <v>200</v>
      </c>
      <c r="BB14" s="75" t="str">
        <f t="shared" si="1"/>
        <v>WILDER JULIAN ARIAS HERNANDEZ</v>
      </c>
      <c r="BK14" s="71"/>
      <c r="BL14" s="71"/>
    </row>
    <row r="15" spans="1:64" x14ac:dyDescent="0.25">
      <c r="A15" s="70">
        <v>3167875</v>
      </c>
      <c r="B15" s="71" t="s">
        <v>190</v>
      </c>
      <c r="C15" s="71">
        <v>51</v>
      </c>
      <c r="D15" s="72" t="s">
        <v>93</v>
      </c>
      <c r="E15" s="73" t="s">
        <v>94</v>
      </c>
      <c r="F15" s="74">
        <v>46022</v>
      </c>
      <c r="G15" s="73" t="s">
        <v>95</v>
      </c>
      <c r="H15" s="73"/>
      <c r="K15" s="71" t="s">
        <v>191</v>
      </c>
      <c r="M15" s="70" t="s">
        <v>240</v>
      </c>
      <c r="N15" s="71" t="s">
        <v>237</v>
      </c>
      <c r="O15" s="71" t="e">
        <f>VLOOKUP(A15,Hoja4!$A$2:$B$247,2,FALSE)</f>
        <v>#N/A</v>
      </c>
      <c r="P15" s="71" t="s">
        <v>238</v>
      </c>
      <c r="Q15" s="73" t="s">
        <v>241</v>
      </c>
      <c r="U15" s="75"/>
      <c r="W15" s="75"/>
      <c r="Y15" s="75"/>
      <c r="AC15" s="75"/>
      <c r="AG15" s="71" t="s">
        <v>198</v>
      </c>
      <c r="AH15" s="76" t="s">
        <v>199</v>
      </c>
      <c r="AI15" s="71" t="s">
        <v>209</v>
      </c>
      <c r="AJ15" s="71" t="s">
        <v>236</v>
      </c>
      <c r="AK15" s="71" t="s">
        <v>200</v>
      </c>
      <c r="AL15" s="75" t="s">
        <v>201</v>
      </c>
      <c r="AM15" s="71" t="s">
        <v>242</v>
      </c>
      <c r="AN15" s="71" t="s">
        <v>243</v>
      </c>
      <c r="AO15" s="71" t="s">
        <v>202</v>
      </c>
      <c r="AP15" s="71" t="s">
        <v>216</v>
      </c>
      <c r="AQ15" s="71"/>
      <c r="AS15" s="71" t="s">
        <v>204</v>
      </c>
      <c r="AT15" s="75" t="s">
        <v>221</v>
      </c>
      <c r="AU15" s="75" t="s">
        <v>196</v>
      </c>
      <c r="AV15" s="75" t="s">
        <v>219</v>
      </c>
      <c r="AW15" s="75" t="s">
        <v>206</v>
      </c>
      <c r="AX15" s="75" t="str">
        <f t="shared" si="0"/>
        <v>DEISY JULIETH GARCIA CASTAÑEDA</v>
      </c>
      <c r="BA15" s="75" t="s">
        <v>208</v>
      </c>
      <c r="BB15" s="75" t="str">
        <f t="shared" si="1"/>
        <v>LAURA STHEPHANIA SANCHEZ PABON</v>
      </c>
      <c r="BK15" s="71"/>
      <c r="BL15" s="71"/>
    </row>
    <row r="16" spans="1:64" x14ac:dyDescent="0.25">
      <c r="A16" s="70">
        <v>3167876</v>
      </c>
      <c r="B16" s="71" t="s">
        <v>190</v>
      </c>
      <c r="C16" s="71">
        <v>42</v>
      </c>
      <c r="D16" s="72" t="s">
        <v>93</v>
      </c>
      <c r="E16" s="73" t="s">
        <v>94</v>
      </c>
      <c r="F16" s="74">
        <v>46022</v>
      </c>
      <c r="G16" s="73" t="s">
        <v>95</v>
      </c>
      <c r="H16" s="73"/>
      <c r="K16" s="71" t="s">
        <v>191</v>
      </c>
      <c r="M16" s="70" t="s">
        <v>240</v>
      </c>
      <c r="N16" s="71" t="s">
        <v>237</v>
      </c>
      <c r="O16" s="71" t="e">
        <f>VLOOKUP(A16,Hoja4!$A$2:$B$247,2,FALSE)</f>
        <v>#N/A</v>
      </c>
      <c r="P16" s="71" t="s">
        <v>238</v>
      </c>
      <c r="Q16" s="73" t="s">
        <v>241</v>
      </c>
      <c r="U16" s="75"/>
      <c r="W16" s="75"/>
      <c r="Y16" s="75"/>
      <c r="AC16" s="75"/>
      <c r="AG16" s="71" t="s">
        <v>198</v>
      </c>
      <c r="AH16" s="76" t="s">
        <v>199</v>
      </c>
      <c r="AI16" s="71" t="s">
        <v>209</v>
      </c>
      <c r="AJ16" s="71" t="s">
        <v>236</v>
      </c>
      <c r="AK16" s="71" t="s">
        <v>200</v>
      </c>
      <c r="AL16" s="75" t="s">
        <v>220</v>
      </c>
      <c r="AM16" s="71" t="s">
        <v>242</v>
      </c>
      <c r="AN16" s="71" t="s">
        <v>243</v>
      </c>
      <c r="AO16" s="71" t="s">
        <v>204</v>
      </c>
      <c r="AP16" s="71" t="s">
        <v>217</v>
      </c>
      <c r="AQ16" s="71"/>
      <c r="AS16" s="71" t="s">
        <v>202</v>
      </c>
      <c r="AT16" s="75" t="s">
        <v>216</v>
      </c>
      <c r="AU16" s="75" t="s">
        <v>196</v>
      </c>
      <c r="AV16" s="75" t="s">
        <v>244</v>
      </c>
      <c r="AW16" s="75" t="s">
        <v>206</v>
      </c>
      <c r="AX16" s="75" t="str">
        <f t="shared" si="0"/>
        <v>DEISY JULIETH GARCIA CASTAÑEDA</v>
      </c>
      <c r="BA16" s="75" t="s">
        <v>208</v>
      </c>
      <c r="BB16" s="75" t="str">
        <f t="shared" si="1"/>
        <v>LAURA STHEPHANIA SANCHEZ PABON</v>
      </c>
      <c r="BK16" s="71"/>
      <c r="BL16" s="71"/>
    </row>
    <row r="17" spans="1:64" x14ac:dyDescent="0.25">
      <c r="A17" s="70">
        <v>3167877</v>
      </c>
      <c r="B17" s="71" t="s">
        <v>190</v>
      </c>
      <c r="C17" s="71">
        <v>56</v>
      </c>
      <c r="D17" s="72" t="s">
        <v>93</v>
      </c>
      <c r="E17" s="73" t="s">
        <v>94</v>
      </c>
      <c r="F17" s="74">
        <v>46022</v>
      </c>
      <c r="G17" s="73" t="s">
        <v>95</v>
      </c>
      <c r="H17" s="73"/>
      <c r="K17" s="71" t="s">
        <v>191</v>
      </c>
      <c r="M17" s="70" t="s">
        <v>240</v>
      </c>
      <c r="N17" s="71" t="s">
        <v>237</v>
      </c>
      <c r="O17" s="71" t="e">
        <f>VLOOKUP(A17,Hoja4!$A$2:$B$247,2,FALSE)</f>
        <v>#N/A</v>
      </c>
      <c r="P17" s="71" t="s">
        <v>238</v>
      </c>
      <c r="Q17" s="73" t="s">
        <v>241</v>
      </c>
      <c r="U17" s="75"/>
      <c r="W17" s="75"/>
      <c r="Y17" s="75"/>
      <c r="AC17" s="75"/>
      <c r="AG17" s="71" t="s">
        <v>198</v>
      </c>
      <c r="AH17" s="76" t="s">
        <v>199</v>
      </c>
      <c r="AI17" s="71" t="s">
        <v>209</v>
      </c>
      <c r="AJ17" s="71" t="s">
        <v>236</v>
      </c>
      <c r="AK17" s="71" t="s">
        <v>200</v>
      </c>
      <c r="AL17" s="75" t="s">
        <v>201</v>
      </c>
      <c r="AM17" s="71" t="s">
        <v>242</v>
      </c>
      <c r="AN17" s="71" t="s">
        <v>243</v>
      </c>
      <c r="AO17" s="71" t="s">
        <v>202</v>
      </c>
      <c r="AP17" s="71" t="s">
        <v>203</v>
      </c>
      <c r="AQ17" s="71"/>
      <c r="AS17" s="71" t="s">
        <v>204</v>
      </c>
      <c r="AT17" s="75" t="s">
        <v>205</v>
      </c>
      <c r="AU17" s="75" t="s">
        <v>196</v>
      </c>
      <c r="AV17" s="75" t="s">
        <v>244</v>
      </c>
      <c r="AW17" s="75" t="s">
        <v>206</v>
      </c>
      <c r="AX17" s="75" t="str">
        <f t="shared" si="0"/>
        <v>JORGE IVAN PEREZ GAITAN</v>
      </c>
      <c r="BA17" s="75" t="s">
        <v>208</v>
      </c>
      <c r="BB17" s="75" t="str">
        <f t="shared" si="1"/>
        <v>MARIA CAROLINA GOMEZ CALLE</v>
      </c>
      <c r="BK17" s="71"/>
      <c r="BL17" s="71"/>
    </row>
    <row r="18" spans="1:64" x14ac:dyDescent="0.25">
      <c r="A18" s="70">
        <v>2977135</v>
      </c>
      <c r="B18" s="71" t="s">
        <v>245</v>
      </c>
      <c r="C18" s="71">
        <v>20</v>
      </c>
      <c r="D18" s="72" t="s">
        <v>96</v>
      </c>
      <c r="E18" s="73" t="s">
        <v>97</v>
      </c>
      <c r="F18" s="74">
        <f>IF(
OR(((ROUND((G18-E18)/30,0))=27),((ROUND((G18-E18)/30,0))=15)),
EDATE(G18,-6),
IF(
(ROUND((G18-E18)/30,0))=12,
EDATE(G18,-3),
IF(
(ROUND((G18-E18)/30,0))=9,
EDATE(G18,0),"CALCULAR")))</f>
        <v>46066</v>
      </c>
      <c r="G18" s="73" t="s">
        <v>98</v>
      </c>
      <c r="H18" s="73" t="s">
        <v>246</v>
      </c>
      <c r="I18" s="71" t="s">
        <v>246</v>
      </c>
      <c r="J18" s="71" t="s">
        <v>247</v>
      </c>
      <c r="M18" s="70" t="s">
        <v>246</v>
      </c>
      <c r="N18" s="71" t="s">
        <v>223</v>
      </c>
      <c r="O18" s="71" t="str">
        <f>VLOOKUP(A18,Hoja4!$A$2:$B$247,2,FALSE)</f>
        <v>HELDA MARINA SEPULVEDA VEGA         </v>
      </c>
      <c r="P18" s="71" t="s">
        <v>223</v>
      </c>
      <c r="Q18" s="73" t="s">
        <v>248</v>
      </c>
      <c r="R18" s="71" t="s">
        <v>249</v>
      </c>
      <c r="S18" s="75" t="s">
        <v>202</v>
      </c>
      <c r="T18" s="75" t="s">
        <v>250</v>
      </c>
      <c r="U18" s="75" t="s">
        <v>209</v>
      </c>
      <c r="V18" s="71" t="s">
        <v>251</v>
      </c>
      <c r="W18" s="75" t="s">
        <v>196</v>
      </c>
      <c r="X18" s="71" t="s">
        <v>252</v>
      </c>
      <c r="Y18" s="75" t="s">
        <v>204</v>
      </c>
      <c r="Z18" s="71" t="s">
        <v>221</v>
      </c>
      <c r="AA18" s="71" t="s">
        <v>208</v>
      </c>
      <c r="AB18" s="71" t="s">
        <v>239</v>
      </c>
      <c r="AC18" s="75"/>
      <c r="AE18" s="71" t="s">
        <v>200</v>
      </c>
      <c r="AF18" s="71" t="s">
        <v>220</v>
      </c>
      <c r="AG18" s="71" t="s">
        <v>198</v>
      </c>
      <c r="AH18" s="76" t="s">
        <v>253</v>
      </c>
      <c r="AK18" s="71" t="s">
        <v>254</v>
      </c>
      <c r="AL18" s="75" t="s">
        <v>255</v>
      </c>
      <c r="AM18" s="71"/>
      <c r="AN18" s="71"/>
      <c r="AO18" s="71" t="s">
        <v>194</v>
      </c>
      <c r="AP18" s="71" t="s">
        <v>195</v>
      </c>
      <c r="AQ18" s="71"/>
      <c r="AS18" s="71"/>
      <c r="AT18" s="75" t="s">
        <v>218</v>
      </c>
      <c r="AV18" s="75" t="s">
        <v>218</v>
      </c>
      <c r="AW18" s="75" t="s">
        <v>206</v>
      </c>
      <c r="AX18" s="75" t="str">
        <f t="shared" si="0"/>
        <v>DEISY JULIETH GARCIA CASTAÑEDA</v>
      </c>
      <c r="BK18" s="71"/>
      <c r="BL18" s="71"/>
    </row>
    <row r="19" spans="1:64" x14ac:dyDescent="0.25">
      <c r="A19" s="70">
        <v>2977136</v>
      </c>
      <c r="B19" s="71" t="s">
        <v>245</v>
      </c>
      <c r="C19" s="71">
        <v>25</v>
      </c>
      <c r="D19" s="72" t="s">
        <v>96</v>
      </c>
      <c r="E19" s="73" t="s">
        <v>97</v>
      </c>
      <c r="F19" s="74">
        <f t="shared" ref="F19:F73" si="2">IF(
OR(((ROUND((G19-E19)/30,0))=27),((ROUND((G19-E19)/30,0))=15)),
EDATE(G19,-6),
IF(
(ROUND((G19-E19)/30,0))=12,
EDATE(G19,-3),
IF(
(ROUND((G19-E19)/30,0))=9,
EDATE(G19,0),"CALCULAR")))</f>
        <v>46066</v>
      </c>
      <c r="G19" s="73" t="s">
        <v>98</v>
      </c>
      <c r="H19" s="73" t="s">
        <v>246</v>
      </c>
      <c r="I19" s="71" t="s">
        <v>246</v>
      </c>
      <c r="J19" s="71" t="s">
        <v>247</v>
      </c>
      <c r="M19" s="70" t="s">
        <v>246</v>
      </c>
      <c r="N19" s="71" t="s">
        <v>223</v>
      </c>
      <c r="O19" s="71" t="str">
        <f>VLOOKUP(A19,Hoja4!$A$2:$B$247,2,FALSE)</f>
        <v>HELDA MARINA SEPULVEDA VEGA         </v>
      </c>
      <c r="P19" s="71" t="s">
        <v>223</v>
      </c>
      <c r="Q19" s="73" t="s">
        <v>248</v>
      </c>
      <c r="R19" s="71" t="s">
        <v>249</v>
      </c>
      <c r="S19" s="75" t="s">
        <v>202</v>
      </c>
      <c r="T19" s="75" t="s">
        <v>256</v>
      </c>
      <c r="U19" s="75" t="s">
        <v>194</v>
      </c>
      <c r="V19" s="71" t="s">
        <v>257</v>
      </c>
      <c r="W19" s="75" t="s">
        <v>196</v>
      </c>
      <c r="X19" s="71" t="s">
        <v>252</v>
      </c>
      <c r="Y19" s="75" t="s">
        <v>204</v>
      </c>
      <c r="Z19" s="71" t="s">
        <v>258</v>
      </c>
      <c r="AA19" s="71" t="s">
        <v>209</v>
      </c>
      <c r="AB19" s="71" t="s">
        <v>226</v>
      </c>
      <c r="AC19" s="75"/>
      <c r="AE19" s="71" t="s">
        <v>200</v>
      </c>
      <c r="AF19" s="71" t="s">
        <v>220</v>
      </c>
      <c r="AG19" s="71" t="s">
        <v>198</v>
      </c>
      <c r="AH19" s="76" t="s">
        <v>199</v>
      </c>
      <c r="AK19" s="71" t="s">
        <v>254</v>
      </c>
      <c r="AL19" s="75" t="s">
        <v>255</v>
      </c>
      <c r="AM19" s="71"/>
      <c r="AN19" s="71"/>
      <c r="AO19" s="71" t="s">
        <v>206</v>
      </c>
      <c r="AP19" s="71" t="s">
        <v>207</v>
      </c>
      <c r="AQ19" s="71"/>
      <c r="AS19" s="71"/>
      <c r="AT19" s="75" t="s">
        <v>218</v>
      </c>
      <c r="AV19" s="75" t="s">
        <v>218</v>
      </c>
      <c r="AW19" s="75" t="s">
        <v>208</v>
      </c>
      <c r="AX19" s="75" t="str">
        <f t="shared" si="0"/>
        <v>MARIA CAROLINA GOMEZ CALLE</v>
      </c>
      <c r="BK19" s="71"/>
      <c r="BL19" s="71"/>
    </row>
    <row r="20" spans="1:64" x14ac:dyDescent="0.25">
      <c r="A20" s="70">
        <v>2977137</v>
      </c>
      <c r="B20" s="71" t="s">
        <v>245</v>
      </c>
      <c r="C20" s="71">
        <v>20</v>
      </c>
      <c r="D20" s="72" t="s">
        <v>96</v>
      </c>
      <c r="E20" s="73" t="s">
        <v>97</v>
      </c>
      <c r="F20" s="74">
        <f t="shared" si="2"/>
        <v>46066</v>
      </c>
      <c r="G20" s="73" t="s">
        <v>98</v>
      </c>
      <c r="H20" s="73" t="s">
        <v>246</v>
      </c>
      <c r="I20" s="71" t="s">
        <v>246</v>
      </c>
      <c r="J20" s="71" t="s">
        <v>247</v>
      </c>
      <c r="M20" s="70" t="s">
        <v>246</v>
      </c>
      <c r="N20" s="71" t="s">
        <v>223</v>
      </c>
      <c r="O20" s="71" t="str">
        <f>VLOOKUP(A20,Hoja4!$A$2:$B$247,2,FALSE)</f>
        <v>HELDA MARINA SEPULVEDA VEGA         </v>
      </c>
      <c r="P20" s="71" t="s">
        <v>223</v>
      </c>
      <c r="Q20" s="73" t="s">
        <v>248</v>
      </c>
      <c r="R20" s="71" t="s">
        <v>249</v>
      </c>
      <c r="S20" s="75" t="s">
        <v>202</v>
      </c>
      <c r="T20" s="75" t="s">
        <v>250</v>
      </c>
      <c r="U20" s="75" t="s">
        <v>194</v>
      </c>
      <c r="V20" s="71" t="s">
        <v>257</v>
      </c>
      <c r="W20" s="75" t="s">
        <v>209</v>
      </c>
      <c r="X20" s="71" t="s">
        <v>226</v>
      </c>
      <c r="Y20" s="75" t="s">
        <v>204</v>
      </c>
      <c r="Z20" s="71" t="s">
        <v>217</v>
      </c>
      <c r="AA20" s="71" t="s">
        <v>254</v>
      </c>
      <c r="AB20" s="71" t="s">
        <v>255</v>
      </c>
      <c r="AC20" s="75"/>
      <c r="AE20" s="71" t="s">
        <v>200</v>
      </c>
      <c r="AF20" s="71" t="s">
        <v>201</v>
      </c>
      <c r="AG20" s="71" t="s">
        <v>196</v>
      </c>
      <c r="AH20" s="76" t="s">
        <v>197</v>
      </c>
      <c r="AK20" s="71" t="s">
        <v>198</v>
      </c>
      <c r="AL20" s="75" t="s">
        <v>225</v>
      </c>
      <c r="AM20" s="71"/>
      <c r="AN20" s="71"/>
      <c r="AO20" s="71" t="s">
        <v>206</v>
      </c>
      <c r="AP20" s="71" t="s">
        <v>227</v>
      </c>
      <c r="AQ20" s="71"/>
      <c r="AS20" s="71"/>
      <c r="AT20" s="75" t="s">
        <v>218</v>
      </c>
      <c r="AV20" s="75" t="s">
        <v>218</v>
      </c>
      <c r="AW20" s="75" t="s">
        <v>208</v>
      </c>
      <c r="AX20" s="75" t="str">
        <f t="shared" si="0"/>
        <v>HECTOR ANDRES CIPAMOCHA CENTENO</v>
      </c>
      <c r="BK20" s="71"/>
      <c r="BL20" s="71"/>
    </row>
    <row r="21" spans="1:64" x14ac:dyDescent="0.25">
      <c r="A21" s="70">
        <v>2977138</v>
      </c>
      <c r="B21" s="71" t="s">
        <v>245</v>
      </c>
      <c r="C21" s="71">
        <v>25</v>
      </c>
      <c r="D21" s="72" t="s">
        <v>96</v>
      </c>
      <c r="E21" s="73" t="s">
        <v>97</v>
      </c>
      <c r="F21" s="74">
        <f t="shared" si="2"/>
        <v>46066</v>
      </c>
      <c r="G21" s="73" t="s">
        <v>98</v>
      </c>
      <c r="H21" s="73" t="s">
        <v>246</v>
      </c>
      <c r="I21" s="71" t="s">
        <v>246</v>
      </c>
      <c r="J21" s="71" t="s">
        <v>247</v>
      </c>
      <c r="M21" s="70" t="s">
        <v>246</v>
      </c>
      <c r="N21" s="71" t="s">
        <v>223</v>
      </c>
      <c r="O21" s="71" t="str">
        <f>VLOOKUP(A21,Hoja4!$A$2:$B$247,2,FALSE)</f>
        <v>HELDA MARINA SEPULVEDA VEGA         </v>
      </c>
      <c r="P21" s="71" t="s">
        <v>223</v>
      </c>
      <c r="Q21" s="73" t="s">
        <v>248</v>
      </c>
      <c r="R21" s="71" t="s">
        <v>249</v>
      </c>
      <c r="S21" s="75" t="s">
        <v>202</v>
      </c>
      <c r="T21" s="75" t="s">
        <v>256</v>
      </c>
      <c r="U21" s="75" t="s">
        <v>194</v>
      </c>
      <c r="V21" s="71" t="s">
        <v>257</v>
      </c>
      <c r="W21" s="75" t="s">
        <v>209</v>
      </c>
      <c r="X21" s="71" t="s">
        <v>259</v>
      </c>
      <c r="Y21" s="75" t="s">
        <v>204</v>
      </c>
      <c r="Z21" s="71" t="s">
        <v>217</v>
      </c>
      <c r="AA21" s="71" t="s">
        <v>254</v>
      </c>
      <c r="AB21" s="71" t="s">
        <v>255</v>
      </c>
      <c r="AC21" s="75" t="s">
        <v>208</v>
      </c>
      <c r="AD21" s="71" t="s">
        <v>235</v>
      </c>
      <c r="AE21" s="71" t="s">
        <v>200</v>
      </c>
      <c r="AF21" s="71" t="s">
        <v>220</v>
      </c>
      <c r="AG21" s="71" t="s">
        <v>206</v>
      </c>
      <c r="AH21" s="76" t="s">
        <v>213</v>
      </c>
      <c r="AK21" s="71" t="s">
        <v>196</v>
      </c>
      <c r="AL21" s="75" t="s">
        <v>219</v>
      </c>
      <c r="AM21" s="71"/>
      <c r="AN21" s="71"/>
      <c r="AO21" s="71"/>
      <c r="AP21" s="71"/>
      <c r="AQ21" s="71"/>
      <c r="AS21" s="71"/>
      <c r="AT21" s="75" t="s">
        <v>218</v>
      </c>
      <c r="AV21" s="75" t="s">
        <v>218</v>
      </c>
      <c r="AW21" s="75" t="s">
        <v>198</v>
      </c>
      <c r="AX21" s="75" t="str">
        <f t="shared" si="0"/>
        <v>ANGELICA JANETH RODRIGUEZ ALONSO</v>
      </c>
      <c r="BK21" s="71"/>
      <c r="BL21" s="71"/>
    </row>
    <row r="22" spans="1:64" x14ac:dyDescent="0.25">
      <c r="A22" s="70">
        <v>2977225</v>
      </c>
      <c r="B22" s="71" t="s">
        <v>245</v>
      </c>
      <c r="C22" s="71">
        <v>33</v>
      </c>
      <c r="D22" s="72" t="s">
        <v>99</v>
      </c>
      <c r="E22" s="73" t="s">
        <v>97</v>
      </c>
      <c r="F22" s="74">
        <f t="shared" si="2"/>
        <v>46066</v>
      </c>
      <c r="G22" s="73" t="s">
        <v>98</v>
      </c>
      <c r="H22" s="73" t="s">
        <v>260</v>
      </c>
      <c r="I22" s="71" t="s">
        <v>260</v>
      </c>
      <c r="J22" s="71" t="s">
        <v>261</v>
      </c>
      <c r="L22" s="71" t="s">
        <v>260</v>
      </c>
      <c r="M22" s="70" t="s">
        <v>262</v>
      </c>
      <c r="N22" s="71" t="s">
        <v>223</v>
      </c>
      <c r="O22" s="71" t="str">
        <f>VLOOKUP(A22,Hoja4!$A$2:$B$247,2,FALSE)</f>
        <v xml:space="preserve">WANDA POSADA PAZ    </v>
      </c>
      <c r="P22" s="71" t="s">
        <v>223</v>
      </c>
      <c r="Q22" s="73" t="s">
        <v>263</v>
      </c>
      <c r="R22" s="71" t="s">
        <v>249</v>
      </c>
      <c r="S22" s="75" t="s">
        <v>198</v>
      </c>
      <c r="T22" s="75" t="s">
        <v>264</v>
      </c>
      <c r="U22" s="75" t="s">
        <v>196</v>
      </c>
      <c r="V22" s="71" t="s">
        <v>252</v>
      </c>
      <c r="W22" s="75" t="s">
        <v>204</v>
      </c>
      <c r="X22" s="71" t="s">
        <v>265</v>
      </c>
      <c r="Y22" s="75"/>
      <c r="AA22" s="71" t="s">
        <v>206</v>
      </c>
      <c r="AB22" s="71" t="s">
        <v>207</v>
      </c>
      <c r="AC22" s="75" t="s">
        <v>200</v>
      </c>
      <c r="AD22" s="71" t="s">
        <v>220</v>
      </c>
      <c r="AE22" s="71" t="s">
        <v>208</v>
      </c>
      <c r="AF22" s="71" t="s">
        <v>239</v>
      </c>
      <c r="AG22" s="71" t="s">
        <v>209</v>
      </c>
      <c r="AH22" s="76" t="s">
        <v>226</v>
      </c>
      <c r="AK22" s="71" t="s">
        <v>202</v>
      </c>
      <c r="AL22" s="75" t="s">
        <v>203</v>
      </c>
      <c r="AM22" s="71"/>
      <c r="AN22" s="71"/>
      <c r="AO22" s="71" t="s">
        <v>194</v>
      </c>
      <c r="AP22" s="71" t="s">
        <v>195</v>
      </c>
      <c r="AQ22" s="71"/>
      <c r="AS22" s="71"/>
      <c r="AT22" s="75" t="s">
        <v>218</v>
      </c>
      <c r="AV22" s="75" t="s">
        <v>218</v>
      </c>
      <c r="AX22" s="75" t="str">
        <f t="shared" si="0"/>
        <v/>
      </c>
      <c r="BA22" s="75" t="s">
        <v>254</v>
      </c>
      <c r="BB22" s="75" t="str">
        <f>VLOOKUP(A22,_p8_2025,2,FALSE)</f>
        <v>CINDY YOHANA BOHORQUEZ GARZON</v>
      </c>
      <c r="BK22" s="71"/>
      <c r="BL22" s="71"/>
    </row>
    <row r="23" spans="1:64" x14ac:dyDescent="0.25">
      <c r="A23" s="70">
        <v>2977226</v>
      </c>
      <c r="B23" s="71" t="s">
        <v>245</v>
      </c>
      <c r="C23" s="71">
        <v>29</v>
      </c>
      <c r="D23" s="72" t="s">
        <v>99</v>
      </c>
      <c r="E23" s="73" t="s">
        <v>97</v>
      </c>
      <c r="F23" s="74">
        <f t="shared" si="2"/>
        <v>46066</v>
      </c>
      <c r="G23" s="73" t="s">
        <v>98</v>
      </c>
      <c r="H23" s="73" t="s">
        <v>260</v>
      </c>
      <c r="I23" s="71" t="s">
        <v>260</v>
      </c>
      <c r="J23" s="71" t="s">
        <v>261</v>
      </c>
      <c r="L23" s="71" t="s">
        <v>260</v>
      </c>
      <c r="M23" s="70" t="s">
        <v>262</v>
      </c>
      <c r="N23" s="71" t="s">
        <v>223</v>
      </c>
      <c r="O23" s="71" t="str">
        <f>VLOOKUP(A23,Hoja4!$A$2:$B$247,2,FALSE)</f>
        <v xml:space="preserve">WANDA POSADA PAZ    </v>
      </c>
      <c r="P23" s="71" t="s">
        <v>223</v>
      </c>
      <c r="Q23" s="73" t="s">
        <v>263</v>
      </c>
      <c r="R23" s="71" t="s">
        <v>249</v>
      </c>
      <c r="S23" s="75" t="s">
        <v>198</v>
      </c>
      <c r="T23" s="75" t="s">
        <v>266</v>
      </c>
      <c r="U23" s="75" t="s">
        <v>196</v>
      </c>
      <c r="V23" s="71" t="s">
        <v>267</v>
      </c>
      <c r="W23" s="75" t="s">
        <v>204</v>
      </c>
      <c r="X23" s="71" t="s">
        <v>258</v>
      </c>
      <c r="Y23" s="75"/>
      <c r="AA23" s="71" t="s">
        <v>206</v>
      </c>
      <c r="AB23" s="71" t="s">
        <v>207</v>
      </c>
      <c r="AC23" s="75" t="s">
        <v>200</v>
      </c>
      <c r="AD23" s="71" t="s">
        <v>220</v>
      </c>
      <c r="AE23" s="71" t="s">
        <v>208</v>
      </c>
      <c r="AF23" s="71" t="s">
        <v>235</v>
      </c>
      <c r="AG23" s="71" t="s">
        <v>209</v>
      </c>
      <c r="AH23" s="76" t="s">
        <v>228</v>
      </c>
      <c r="AK23" s="71" t="s">
        <v>202</v>
      </c>
      <c r="AL23" s="75" t="s">
        <v>203</v>
      </c>
      <c r="AM23" s="71"/>
      <c r="AN23" s="71"/>
      <c r="AO23" s="71" t="s">
        <v>194</v>
      </c>
      <c r="AP23" s="71" t="s">
        <v>195</v>
      </c>
      <c r="AQ23" s="71"/>
      <c r="AS23" s="71"/>
      <c r="AT23" s="75" t="s">
        <v>218</v>
      </c>
      <c r="AV23" s="75" t="s">
        <v>218</v>
      </c>
      <c r="AX23" s="75" t="str">
        <f t="shared" si="0"/>
        <v/>
      </c>
      <c r="BA23" s="75" t="s">
        <v>254</v>
      </c>
      <c r="BB23" s="75" t="str">
        <f>VLOOKUP(A23,_p8_2025,2,FALSE)</f>
        <v>CINDY YOHANA BOHORQUEZ GARZON</v>
      </c>
      <c r="BK23" s="71"/>
      <c r="BL23" s="71"/>
    </row>
    <row r="24" spans="1:64" x14ac:dyDescent="0.25">
      <c r="A24" s="70">
        <v>2977227</v>
      </c>
      <c r="B24" s="71" t="s">
        <v>245</v>
      </c>
      <c r="C24" s="71">
        <v>35</v>
      </c>
      <c r="D24" s="72" t="s">
        <v>99</v>
      </c>
      <c r="E24" s="73" t="s">
        <v>97</v>
      </c>
      <c r="F24" s="74">
        <f t="shared" si="2"/>
        <v>46066</v>
      </c>
      <c r="G24" s="73" t="s">
        <v>98</v>
      </c>
      <c r="H24" s="73" t="s">
        <v>260</v>
      </c>
      <c r="I24" s="71" t="s">
        <v>260</v>
      </c>
      <c r="J24" s="71" t="s">
        <v>261</v>
      </c>
      <c r="L24" s="71" t="s">
        <v>260</v>
      </c>
      <c r="M24" s="70" t="s">
        <v>262</v>
      </c>
      <c r="N24" s="71" t="s">
        <v>223</v>
      </c>
      <c r="O24" s="71" t="str">
        <f>VLOOKUP(A24,Hoja4!$A$2:$B$247,2,FALSE)</f>
        <v xml:space="preserve">WANDA POSADA PAZ    </v>
      </c>
      <c r="P24" s="71" t="s">
        <v>223</v>
      </c>
      <c r="Q24" s="73" t="s">
        <v>263</v>
      </c>
      <c r="R24" s="71" t="s">
        <v>249</v>
      </c>
      <c r="S24" s="75" t="s">
        <v>198</v>
      </c>
      <c r="T24" s="75" t="s">
        <v>266</v>
      </c>
      <c r="U24" s="75" t="s">
        <v>196</v>
      </c>
      <c r="V24" s="71" t="s">
        <v>267</v>
      </c>
      <c r="W24" s="75" t="s">
        <v>204</v>
      </c>
      <c r="X24" s="71" t="s">
        <v>221</v>
      </c>
      <c r="Y24" s="75" t="s">
        <v>206</v>
      </c>
      <c r="Z24" s="71" t="s">
        <v>207</v>
      </c>
      <c r="AA24" s="71" t="s">
        <v>202</v>
      </c>
      <c r="AB24" s="71" t="s">
        <v>216</v>
      </c>
      <c r="AC24" s="75" t="s">
        <v>200</v>
      </c>
      <c r="AD24" s="71" t="s">
        <v>220</v>
      </c>
      <c r="AE24" s="71" t="s">
        <v>208</v>
      </c>
      <c r="AF24" s="71" t="s">
        <v>235</v>
      </c>
      <c r="AG24" s="71" t="s">
        <v>209</v>
      </c>
      <c r="AH24" s="76" t="s">
        <v>228</v>
      </c>
      <c r="AK24" s="71"/>
      <c r="AL24" s="75" t="s">
        <v>218</v>
      </c>
      <c r="AM24" s="71"/>
      <c r="AN24" s="71"/>
      <c r="AO24" s="71" t="s">
        <v>194</v>
      </c>
      <c r="AP24" s="71" t="s">
        <v>195</v>
      </c>
      <c r="AQ24" s="71"/>
      <c r="AS24" s="71"/>
      <c r="AT24" s="75" t="s">
        <v>218</v>
      </c>
      <c r="AV24" s="75" t="s">
        <v>218</v>
      </c>
      <c r="AX24" s="75" t="str">
        <f t="shared" si="0"/>
        <v/>
      </c>
      <c r="BA24" s="75" t="s">
        <v>254</v>
      </c>
      <c r="BB24" s="75" t="str">
        <f>VLOOKUP(A24,_p8_2025,2,FALSE)</f>
        <v>CINDY YOHANA BOHORQUEZ GARZON</v>
      </c>
      <c r="BK24" s="71"/>
      <c r="BL24" s="71"/>
    </row>
    <row r="25" spans="1:64" x14ac:dyDescent="0.25">
      <c r="A25" s="70">
        <v>2977228</v>
      </c>
      <c r="B25" s="71" t="s">
        <v>245</v>
      </c>
      <c r="C25" s="71">
        <v>34</v>
      </c>
      <c r="D25" s="72" t="s">
        <v>99</v>
      </c>
      <c r="E25" s="73" t="s">
        <v>97</v>
      </c>
      <c r="F25" s="74">
        <f t="shared" si="2"/>
        <v>46066</v>
      </c>
      <c r="G25" s="73" t="s">
        <v>98</v>
      </c>
      <c r="H25" s="73" t="s">
        <v>268</v>
      </c>
      <c r="I25" s="71" t="s">
        <v>268</v>
      </c>
      <c r="J25" s="71" t="s">
        <v>261</v>
      </c>
      <c r="M25" s="70" t="s">
        <v>268</v>
      </c>
      <c r="N25" s="71" t="s">
        <v>223</v>
      </c>
      <c r="O25" s="71" t="str">
        <f>VLOOKUP(A25,Hoja4!$A$2:$B$247,2,FALSE)</f>
        <v>LEYDY NAHIR FONSECA CARDENAS        </v>
      </c>
      <c r="P25" s="71" t="s">
        <v>223</v>
      </c>
      <c r="Q25" s="73" t="s">
        <v>263</v>
      </c>
      <c r="R25" s="71" t="s">
        <v>249</v>
      </c>
      <c r="S25" s="75" t="s">
        <v>198</v>
      </c>
      <c r="T25" s="75" t="s">
        <v>264</v>
      </c>
      <c r="U25" s="75" t="s">
        <v>196</v>
      </c>
      <c r="V25" s="71" t="s">
        <v>267</v>
      </c>
      <c r="W25" s="75" t="s">
        <v>204</v>
      </c>
      <c r="X25" s="71" t="s">
        <v>269</v>
      </c>
      <c r="Y25" s="75" t="s">
        <v>206</v>
      </c>
      <c r="Z25" s="71" t="s">
        <v>270</v>
      </c>
      <c r="AA25" s="71" t="s">
        <v>202</v>
      </c>
      <c r="AB25" s="71" t="s">
        <v>216</v>
      </c>
      <c r="AC25" s="75" t="s">
        <v>200</v>
      </c>
      <c r="AD25" s="71" t="s">
        <v>201</v>
      </c>
      <c r="AE25" s="71" t="s">
        <v>208</v>
      </c>
      <c r="AF25" s="71" t="s">
        <v>239</v>
      </c>
      <c r="AG25" s="71" t="s">
        <v>209</v>
      </c>
      <c r="AH25" s="76" t="s">
        <v>228</v>
      </c>
      <c r="AK25" s="71"/>
      <c r="AL25" s="75" t="s">
        <v>218</v>
      </c>
      <c r="AM25" s="71"/>
      <c r="AN25" s="71"/>
      <c r="AO25" s="71"/>
      <c r="AP25" s="71"/>
      <c r="AQ25" s="71"/>
      <c r="AS25" s="71"/>
      <c r="AV25" s="75" t="s">
        <v>218</v>
      </c>
      <c r="AW25" s="75" t="s">
        <v>194</v>
      </c>
      <c r="AX25" s="75" t="str">
        <f t="shared" si="0"/>
        <v>CAMILO ERNESTO CALDERON GALINDO</v>
      </c>
      <c r="BA25" s="75" t="s">
        <v>254</v>
      </c>
      <c r="BB25" s="75" t="str">
        <f>VLOOKUP(A25,_p8_2025,2,FALSE)</f>
        <v>CINDY YOHANA BOHORQUEZ GARZON</v>
      </c>
      <c r="BK25" s="71"/>
      <c r="BL25" s="71"/>
    </row>
    <row r="26" spans="1:64" x14ac:dyDescent="0.25">
      <c r="A26" s="70">
        <v>2977229</v>
      </c>
      <c r="B26" s="71" t="s">
        <v>245</v>
      </c>
      <c r="C26" s="71">
        <v>31</v>
      </c>
      <c r="D26" s="72" t="s">
        <v>99</v>
      </c>
      <c r="E26" s="73" t="s">
        <v>97</v>
      </c>
      <c r="F26" s="74">
        <f t="shared" si="2"/>
        <v>46066</v>
      </c>
      <c r="G26" s="73" t="s">
        <v>98</v>
      </c>
      <c r="H26" s="73" t="s">
        <v>268</v>
      </c>
      <c r="I26" s="71" t="s">
        <v>268</v>
      </c>
      <c r="J26" s="71" t="s">
        <v>261</v>
      </c>
      <c r="M26" s="70" t="s">
        <v>268</v>
      </c>
      <c r="N26" s="71" t="s">
        <v>233</v>
      </c>
      <c r="O26" s="71" t="str">
        <f>VLOOKUP(A26,Hoja4!$A$2:$B$247,2,FALSE)</f>
        <v>LEYDY NAHIR FONSECA CARDENAS        </v>
      </c>
      <c r="P26" s="71" t="s">
        <v>233</v>
      </c>
      <c r="Q26" s="73" t="s">
        <v>263</v>
      </c>
      <c r="R26" s="71" t="s">
        <v>249</v>
      </c>
      <c r="S26" s="75" t="s">
        <v>198</v>
      </c>
      <c r="T26" s="75" t="s">
        <v>266</v>
      </c>
      <c r="U26" s="75" t="s">
        <v>196</v>
      </c>
      <c r="V26" s="71" t="s">
        <v>252</v>
      </c>
      <c r="W26" s="75" t="s">
        <v>204</v>
      </c>
      <c r="X26" s="71" t="s">
        <v>217</v>
      </c>
      <c r="Y26" s="75" t="s">
        <v>206</v>
      </c>
      <c r="Z26" s="71" t="s">
        <v>207</v>
      </c>
      <c r="AA26" s="71" t="s">
        <v>202</v>
      </c>
      <c r="AB26" s="71" t="s">
        <v>216</v>
      </c>
      <c r="AC26" s="75"/>
      <c r="AE26" s="71" t="s">
        <v>200</v>
      </c>
      <c r="AF26" s="71" t="s">
        <v>220</v>
      </c>
      <c r="AG26" s="71" t="s">
        <v>209</v>
      </c>
      <c r="AH26" s="76" t="s">
        <v>228</v>
      </c>
      <c r="AK26" s="71" t="s">
        <v>208</v>
      </c>
      <c r="AL26" s="75" t="s">
        <v>239</v>
      </c>
      <c r="AM26" s="71"/>
      <c r="AN26" s="71"/>
      <c r="AO26" s="71"/>
      <c r="AP26" s="71"/>
      <c r="AQ26" s="71"/>
      <c r="AS26" s="71"/>
      <c r="AV26" s="75" t="s">
        <v>218</v>
      </c>
      <c r="AW26" s="75" t="s">
        <v>194</v>
      </c>
      <c r="AX26" s="75" t="str">
        <f t="shared" si="0"/>
        <v>CAMILO ERNESTO CALDERON GALINDO</v>
      </c>
      <c r="BA26" s="75" t="s">
        <v>254</v>
      </c>
      <c r="BB26" s="75" t="str">
        <f>VLOOKUP(A26,_p8_2025,2,FALSE)</f>
        <v>CINDY YOHANA BOHORQUEZ GARZON</v>
      </c>
      <c r="BK26" s="71"/>
      <c r="BL26" s="71"/>
    </row>
    <row r="27" spans="1:64" x14ac:dyDescent="0.25">
      <c r="A27" s="70">
        <v>2977230</v>
      </c>
      <c r="B27" s="71" t="s">
        <v>245</v>
      </c>
      <c r="C27" s="71">
        <v>23</v>
      </c>
      <c r="D27" s="72" t="s">
        <v>99</v>
      </c>
      <c r="E27" s="73" t="s">
        <v>97</v>
      </c>
      <c r="F27" s="74">
        <f t="shared" si="2"/>
        <v>46066</v>
      </c>
      <c r="G27" s="73" t="s">
        <v>98</v>
      </c>
      <c r="H27" s="73" t="s">
        <v>268</v>
      </c>
      <c r="I27" s="71" t="s">
        <v>268</v>
      </c>
      <c r="J27" s="71" t="s">
        <v>261</v>
      </c>
      <c r="M27" s="70" t="s">
        <v>268</v>
      </c>
      <c r="N27" s="71" t="s">
        <v>233</v>
      </c>
      <c r="O27" s="71" t="str">
        <f>VLOOKUP(A27,Hoja4!$A$2:$B$247,2,FALSE)</f>
        <v>LEYDY NAHIR FONSECA CARDENAS        </v>
      </c>
      <c r="P27" s="71" t="s">
        <v>233</v>
      </c>
      <c r="Q27" s="73" t="s">
        <v>263</v>
      </c>
      <c r="R27" s="71" t="s">
        <v>249</v>
      </c>
      <c r="S27" s="75" t="s">
        <v>198</v>
      </c>
      <c r="T27" s="75" t="s">
        <v>266</v>
      </c>
      <c r="U27" s="75" t="s">
        <v>202</v>
      </c>
      <c r="V27" s="71" t="s">
        <v>256</v>
      </c>
      <c r="W27" s="75" t="s">
        <v>204</v>
      </c>
      <c r="X27" s="71" t="s">
        <v>217</v>
      </c>
      <c r="Y27" s="75"/>
      <c r="AA27" s="71" t="s">
        <v>254</v>
      </c>
      <c r="AB27" s="71" t="s">
        <v>255</v>
      </c>
      <c r="AC27" s="75" t="s">
        <v>206</v>
      </c>
      <c r="AD27" s="71" t="s">
        <v>227</v>
      </c>
      <c r="AE27" s="71" t="s">
        <v>200</v>
      </c>
      <c r="AF27" s="71" t="s">
        <v>201</v>
      </c>
      <c r="AG27" s="71" t="s">
        <v>209</v>
      </c>
      <c r="AH27" s="76" t="s">
        <v>228</v>
      </c>
      <c r="AK27" s="71" t="s">
        <v>196</v>
      </c>
      <c r="AL27" s="75" t="s">
        <v>219</v>
      </c>
      <c r="AM27" s="71"/>
      <c r="AN27" s="71"/>
      <c r="AO27" s="71" t="s">
        <v>208</v>
      </c>
      <c r="AP27" s="71" t="s">
        <v>235</v>
      </c>
      <c r="AQ27" s="71"/>
      <c r="AS27" s="71"/>
      <c r="AT27" s="75" t="s">
        <v>218</v>
      </c>
      <c r="AV27" s="75" t="s">
        <v>218</v>
      </c>
      <c r="AW27" s="75" t="s">
        <v>194</v>
      </c>
      <c r="AX27" s="75" t="str">
        <f t="shared" si="0"/>
        <v>CAMILO ERNESTO CALDERON GALINDO</v>
      </c>
      <c r="BK27" s="71"/>
      <c r="BL27" s="71"/>
    </row>
    <row r="28" spans="1:64" x14ac:dyDescent="0.25">
      <c r="A28" s="70">
        <v>2977457</v>
      </c>
      <c r="B28" s="71" t="s">
        <v>245</v>
      </c>
      <c r="C28" s="71">
        <v>27</v>
      </c>
      <c r="D28" s="72" t="s">
        <v>271</v>
      </c>
      <c r="E28" s="73" t="s">
        <v>97</v>
      </c>
      <c r="F28" s="74">
        <f t="shared" si="2"/>
        <v>46066</v>
      </c>
      <c r="G28" s="73" t="s">
        <v>98</v>
      </c>
      <c r="H28" s="73" t="s">
        <v>272</v>
      </c>
      <c r="I28" s="71" t="s">
        <v>272</v>
      </c>
      <c r="J28" s="71" t="s">
        <v>213</v>
      </c>
      <c r="M28" s="70" t="s">
        <v>273</v>
      </c>
      <c r="N28" s="71" t="s">
        <v>233</v>
      </c>
      <c r="O28" s="71" t="str">
        <f>VLOOKUP(A28,Hoja4!$A$2:$B$247,2,FALSE)</f>
        <v>EDUER PABON MORALES</v>
      </c>
      <c r="P28" s="71" t="s">
        <v>233</v>
      </c>
      <c r="Q28" s="73" t="s">
        <v>274</v>
      </c>
      <c r="R28" s="71" t="s">
        <v>249</v>
      </c>
      <c r="S28" s="75" t="s">
        <v>204</v>
      </c>
      <c r="T28" s="75" t="s">
        <v>275</v>
      </c>
      <c r="U28" s="75" t="s">
        <v>202</v>
      </c>
      <c r="V28" s="71" t="s">
        <v>250</v>
      </c>
      <c r="W28" s="75" t="s">
        <v>209</v>
      </c>
      <c r="X28" s="71" t="s">
        <v>259</v>
      </c>
      <c r="Y28" s="75" t="s">
        <v>206</v>
      </c>
      <c r="Z28" s="71" t="s">
        <v>270</v>
      </c>
      <c r="AA28" s="71" t="s">
        <v>254</v>
      </c>
      <c r="AB28" s="71" t="s">
        <v>276</v>
      </c>
      <c r="AC28" s="75" t="s">
        <v>200</v>
      </c>
      <c r="AD28" s="71" t="s">
        <v>220</v>
      </c>
      <c r="AE28" s="71" t="s">
        <v>194</v>
      </c>
      <c r="AF28" s="71" t="s">
        <v>277</v>
      </c>
      <c r="AG28" s="71" t="s">
        <v>198</v>
      </c>
      <c r="AH28" s="76" t="s">
        <v>253</v>
      </c>
      <c r="AK28" s="71" t="s">
        <v>208</v>
      </c>
      <c r="AL28" s="75" t="s">
        <v>278</v>
      </c>
      <c r="AM28" s="71"/>
      <c r="AN28" s="71"/>
      <c r="AO28" s="71"/>
      <c r="AP28" s="71"/>
      <c r="AQ28" s="71"/>
      <c r="AS28" s="71"/>
      <c r="AT28" s="75" t="s">
        <v>218</v>
      </c>
      <c r="AV28" s="75" t="s">
        <v>218</v>
      </c>
      <c r="AX28" s="75" t="str">
        <f t="shared" si="0"/>
        <v/>
      </c>
      <c r="BA28" s="75" t="s">
        <v>196</v>
      </c>
      <c r="BB28" s="75" t="str">
        <f>VLOOKUP(A28,_p8_2025,2,FALSE)</f>
        <v>JORGE ARMANDO PIEDRAHITA</v>
      </c>
      <c r="BK28" s="71"/>
      <c r="BL28" s="71"/>
    </row>
    <row r="29" spans="1:64" x14ac:dyDescent="0.25">
      <c r="A29" s="70">
        <v>2977458</v>
      </c>
      <c r="B29" s="71" t="s">
        <v>245</v>
      </c>
      <c r="C29" s="71">
        <v>36</v>
      </c>
      <c r="D29" s="72" t="s">
        <v>271</v>
      </c>
      <c r="E29" s="73" t="s">
        <v>97</v>
      </c>
      <c r="F29" s="74">
        <f t="shared" si="2"/>
        <v>46066</v>
      </c>
      <c r="G29" s="73" t="s">
        <v>98</v>
      </c>
      <c r="H29" s="73" t="s">
        <v>279</v>
      </c>
      <c r="I29" s="71" t="s">
        <v>279</v>
      </c>
      <c r="J29" s="71" t="s">
        <v>213</v>
      </c>
      <c r="M29" s="70" t="s">
        <v>279</v>
      </c>
      <c r="N29" s="71" t="s">
        <v>233</v>
      </c>
      <c r="O29" s="71" t="str">
        <f>VLOOKUP(A29,Hoja4!$A$2:$B$247,2,FALSE)</f>
        <v>ANA MILENA MOSQUERA SEVILLA         </v>
      </c>
      <c r="P29" s="71" t="s">
        <v>233</v>
      </c>
      <c r="Q29" s="73" t="s">
        <v>274</v>
      </c>
      <c r="R29" s="71" t="s">
        <v>249</v>
      </c>
      <c r="S29" s="75" t="s">
        <v>204</v>
      </c>
      <c r="T29" s="75" t="s">
        <v>275</v>
      </c>
      <c r="U29" s="75" t="s">
        <v>202</v>
      </c>
      <c r="V29" s="71" t="s">
        <v>250</v>
      </c>
      <c r="W29" s="75" t="s">
        <v>209</v>
      </c>
      <c r="X29" s="71" t="s">
        <v>280</v>
      </c>
      <c r="Y29" s="75" t="s">
        <v>206</v>
      </c>
      <c r="Z29" s="71" t="s">
        <v>270</v>
      </c>
      <c r="AA29" s="71" t="s">
        <v>208</v>
      </c>
      <c r="AB29" s="71" t="s">
        <v>235</v>
      </c>
      <c r="AC29" s="75" t="s">
        <v>200</v>
      </c>
      <c r="AD29" s="71" t="s">
        <v>201</v>
      </c>
      <c r="AE29" s="71" t="s">
        <v>198</v>
      </c>
      <c r="AF29" s="71" t="s">
        <v>266</v>
      </c>
      <c r="AG29" s="71" t="s">
        <v>194</v>
      </c>
      <c r="AH29" s="76" t="s">
        <v>195</v>
      </c>
      <c r="AK29" s="71" t="s">
        <v>196</v>
      </c>
      <c r="AL29" s="75" t="s">
        <v>281</v>
      </c>
      <c r="AM29" s="71"/>
      <c r="AN29" s="71"/>
      <c r="AO29" s="71"/>
      <c r="AP29" s="71"/>
      <c r="AQ29" s="71"/>
      <c r="AS29" s="71" t="s">
        <v>254</v>
      </c>
      <c r="AT29" s="75" t="s">
        <v>255</v>
      </c>
      <c r="AV29" s="75" t="s">
        <v>218</v>
      </c>
      <c r="AX29" s="75" t="str">
        <f t="shared" si="0"/>
        <v/>
      </c>
      <c r="BK29" s="71"/>
      <c r="BL29" s="71"/>
    </row>
    <row r="30" spans="1:64" x14ac:dyDescent="0.25">
      <c r="A30" s="70">
        <v>2977459</v>
      </c>
      <c r="B30" s="71" t="s">
        <v>245</v>
      </c>
      <c r="C30" s="71">
        <v>35</v>
      </c>
      <c r="D30" s="72" t="s">
        <v>271</v>
      </c>
      <c r="E30" s="73" t="s">
        <v>97</v>
      </c>
      <c r="F30" s="74">
        <f t="shared" si="2"/>
        <v>46066</v>
      </c>
      <c r="G30" s="73" t="s">
        <v>98</v>
      </c>
      <c r="H30" s="73" t="s">
        <v>279</v>
      </c>
      <c r="I30" s="71" t="s">
        <v>279</v>
      </c>
      <c r="J30" s="71" t="s">
        <v>213</v>
      </c>
      <c r="M30" s="70" t="s">
        <v>279</v>
      </c>
      <c r="N30" s="71" t="s">
        <v>233</v>
      </c>
      <c r="O30" s="71" t="str">
        <f>VLOOKUP(A30,Hoja4!$A$2:$B$247,2,FALSE)</f>
        <v>ANA MILENA MOSQUERA SEVILLA         </v>
      </c>
      <c r="P30" s="71" t="s">
        <v>233</v>
      </c>
      <c r="Q30" s="73" t="s">
        <v>274</v>
      </c>
      <c r="R30" s="71" t="s">
        <v>249</v>
      </c>
      <c r="S30" s="75" t="s">
        <v>204</v>
      </c>
      <c r="T30" s="75" t="s">
        <v>275</v>
      </c>
      <c r="U30" s="75" t="s">
        <v>202</v>
      </c>
      <c r="V30" s="71" t="s">
        <v>256</v>
      </c>
      <c r="W30" s="75" t="s">
        <v>209</v>
      </c>
      <c r="X30" s="71" t="s">
        <v>236</v>
      </c>
      <c r="Y30" s="75" t="s">
        <v>206</v>
      </c>
      <c r="Z30" s="71" t="s">
        <v>270</v>
      </c>
      <c r="AA30" s="71" t="s">
        <v>208</v>
      </c>
      <c r="AB30" s="71" t="s">
        <v>235</v>
      </c>
      <c r="AC30" s="75" t="s">
        <v>200</v>
      </c>
      <c r="AD30" s="71" t="s">
        <v>201</v>
      </c>
      <c r="AE30" s="71" t="s">
        <v>198</v>
      </c>
      <c r="AF30" s="71" t="s">
        <v>199</v>
      </c>
      <c r="AG30" s="71" t="s">
        <v>194</v>
      </c>
      <c r="AH30" s="76" t="s">
        <v>195</v>
      </c>
      <c r="AK30" s="71" t="s">
        <v>196</v>
      </c>
      <c r="AL30" s="75" t="s">
        <v>281</v>
      </c>
      <c r="AM30" s="71"/>
      <c r="AN30" s="71"/>
      <c r="AO30" s="71"/>
      <c r="AP30" s="71"/>
      <c r="AQ30" s="71"/>
      <c r="AS30" s="71" t="s">
        <v>254</v>
      </c>
      <c r="AT30" s="75" t="s">
        <v>255</v>
      </c>
      <c r="AV30" s="75" t="s">
        <v>218</v>
      </c>
      <c r="AX30" s="75" t="str">
        <f t="shared" si="0"/>
        <v/>
      </c>
      <c r="BK30" s="71"/>
      <c r="BL30" s="71"/>
    </row>
    <row r="31" spans="1:64" x14ac:dyDescent="0.25">
      <c r="A31" s="70">
        <v>2977460</v>
      </c>
      <c r="B31" s="71" t="s">
        <v>245</v>
      </c>
      <c r="C31" s="71">
        <v>37</v>
      </c>
      <c r="D31" s="72" t="s">
        <v>271</v>
      </c>
      <c r="E31" s="73" t="s">
        <v>97</v>
      </c>
      <c r="F31" s="74">
        <f t="shared" si="2"/>
        <v>46066</v>
      </c>
      <c r="G31" s="73" t="s">
        <v>98</v>
      </c>
      <c r="H31" s="73" t="s">
        <v>279</v>
      </c>
      <c r="I31" s="71" t="s">
        <v>279</v>
      </c>
      <c r="J31" s="71" t="s">
        <v>213</v>
      </c>
      <c r="M31" s="70" t="s">
        <v>279</v>
      </c>
      <c r="N31" s="71" t="s">
        <v>233</v>
      </c>
      <c r="O31" s="71" t="str">
        <f>VLOOKUP(A31,Hoja4!$A$2:$B$247,2,FALSE)</f>
        <v>ANA MILENA MOSQUERA SEVILLA         </v>
      </c>
      <c r="P31" s="71" t="s">
        <v>233</v>
      </c>
      <c r="Q31" s="73" t="s">
        <v>274</v>
      </c>
      <c r="R31" s="71" t="s">
        <v>249</v>
      </c>
      <c r="S31" s="75" t="s">
        <v>204</v>
      </c>
      <c r="T31" s="75" t="s">
        <v>275</v>
      </c>
      <c r="U31" s="75" t="s">
        <v>202</v>
      </c>
      <c r="V31" s="71" t="s">
        <v>250</v>
      </c>
      <c r="W31" s="75" t="s">
        <v>209</v>
      </c>
      <c r="X31" s="71" t="s">
        <v>226</v>
      </c>
      <c r="Y31" s="75"/>
      <c r="AA31" s="71" t="s">
        <v>206</v>
      </c>
      <c r="AB31" s="71" t="s">
        <v>270</v>
      </c>
      <c r="AC31" s="75" t="s">
        <v>200</v>
      </c>
      <c r="AD31" s="71" t="s">
        <v>220</v>
      </c>
      <c r="AE31" s="71" t="s">
        <v>198</v>
      </c>
      <c r="AF31" s="71" t="s">
        <v>199</v>
      </c>
      <c r="AG31" s="71" t="s">
        <v>254</v>
      </c>
      <c r="AH31" s="76" t="s">
        <v>276</v>
      </c>
      <c r="AK31" s="71" t="s">
        <v>208</v>
      </c>
      <c r="AL31" s="75" t="s">
        <v>239</v>
      </c>
      <c r="AM31" s="71"/>
      <c r="AN31" s="71"/>
      <c r="AO31" s="71"/>
      <c r="AP31" s="71"/>
      <c r="AQ31" s="71"/>
      <c r="AS31" s="71"/>
      <c r="AT31" s="75" t="s">
        <v>218</v>
      </c>
      <c r="AV31" s="75" t="s">
        <v>218</v>
      </c>
      <c r="AW31" s="75" t="s">
        <v>194</v>
      </c>
      <c r="AX31" s="75" t="str">
        <f t="shared" si="0"/>
        <v>CAMILO ERNESTO CALDERON GALINDO</v>
      </c>
      <c r="BA31" s="75" t="s">
        <v>196</v>
      </c>
      <c r="BB31" s="75" t="str">
        <f>VLOOKUP(A31,_p8_2025,2,FALSE)</f>
        <v>CESAR AUGUSTO BERMEO</v>
      </c>
      <c r="BK31" s="71"/>
      <c r="BL31" s="71"/>
    </row>
    <row r="32" spans="1:64" x14ac:dyDescent="0.25">
      <c r="A32" s="70">
        <v>2977461</v>
      </c>
      <c r="B32" s="71" t="s">
        <v>245</v>
      </c>
      <c r="C32" s="71">
        <v>38</v>
      </c>
      <c r="D32" s="72" t="s">
        <v>271</v>
      </c>
      <c r="E32" s="73" t="s">
        <v>97</v>
      </c>
      <c r="F32" s="74">
        <f t="shared" si="2"/>
        <v>46066</v>
      </c>
      <c r="G32" s="73" t="s">
        <v>98</v>
      </c>
      <c r="H32" s="73" t="s">
        <v>279</v>
      </c>
      <c r="I32" s="71" t="s">
        <v>279</v>
      </c>
      <c r="J32" s="71" t="s">
        <v>213</v>
      </c>
      <c r="M32" s="70" t="s">
        <v>279</v>
      </c>
      <c r="N32" s="71" t="s">
        <v>233</v>
      </c>
      <c r="O32" s="71" t="str">
        <f>VLOOKUP(A32,Hoja4!$A$2:$B$247,2,FALSE)</f>
        <v>ANA MILENA MOSQUERA SEVILLA         </v>
      </c>
      <c r="P32" s="71" t="s">
        <v>233</v>
      </c>
      <c r="Q32" s="73" t="s">
        <v>274</v>
      </c>
      <c r="R32" s="71" t="s">
        <v>249</v>
      </c>
      <c r="S32" s="75" t="s">
        <v>204</v>
      </c>
      <c r="T32" s="75" t="s">
        <v>275</v>
      </c>
      <c r="U32" s="75" t="s">
        <v>202</v>
      </c>
      <c r="V32" s="71" t="s">
        <v>216</v>
      </c>
      <c r="W32" s="75" t="s">
        <v>209</v>
      </c>
      <c r="X32" s="71" t="s">
        <v>236</v>
      </c>
      <c r="Y32" s="75" t="s">
        <v>206</v>
      </c>
      <c r="Z32" s="71" t="s">
        <v>213</v>
      </c>
      <c r="AA32" s="71" t="s">
        <v>208</v>
      </c>
      <c r="AB32" s="71" t="s">
        <v>239</v>
      </c>
      <c r="AC32" s="75" t="s">
        <v>200</v>
      </c>
      <c r="AD32" s="71" t="s">
        <v>201</v>
      </c>
      <c r="AE32" s="71" t="s">
        <v>198</v>
      </c>
      <c r="AF32" s="71" t="s">
        <v>199</v>
      </c>
      <c r="AG32" s="71" t="s">
        <v>254</v>
      </c>
      <c r="AH32" s="76" t="s">
        <v>276</v>
      </c>
      <c r="AK32" s="71" t="s">
        <v>196</v>
      </c>
      <c r="AL32" s="75" t="s">
        <v>219</v>
      </c>
      <c r="AM32" s="71"/>
      <c r="AN32" s="71"/>
      <c r="AO32" s="71" t="s">
        <v>194</v>
      </c>
      <c r="AP32" s="71" t="s">
        <v>195</v>
      </c>
      <c r="AQ32" s="71"/>
      <c r="AS32" s="71"/>
      <c r="AT32" s="75" t="s">
        <v>218</v>
      </c>
      <c r="AV32" s="75" t="s">
        <v>218</v>
      </c>
      <c r="AX32" s="75" t="str">
        <f t="shared" si="0"/>
        <v/>
      </c>
      <c r="BK32" s="71"/>
      <c r="BL32" s="71"/>
    </row>
    <row r="33" spans="1:64" x14ac:dyDescent="0.25">
      <c r="A33" s="70">
        <v>2977462</v>
      </c>
      <c r="B33" s="71" t="s">
        <v>245</v>
      </c>
      <c r="C33" s="71">
        <v>32</v>
      </c>
      <c r="D33" s="72" t="s">
        <v>271</v>
      </c>
      <c r="E33" s="73" t="s">
        <v>97</v>
      </c>
      <c r="F33" s="74">
        <f t="shared" si="2"/>
        <v>46066</v>
      </c>
      <c r="G33" s="73" t="s">
        <v>98</v>
      </c>
      <c r="H33" s="73" t="s">
        <v>282</v>
      </c>
      <c r="I33" s="71" t="s">
        <v>282</v>
      </c>
      <c r="J33" s="71" t="s">
        <v>213</v>
      </c>
      <c r="M33" s="70" t="s">
        <v>283</v>
      </c>
      <c r="N33" s="71" t="s">
        <v>233</v>
      </c>
      <c r="O33" s="71" t="str">
        <f>VLOOKUP(A33,Hoja4!$A$2:$B$247,2,FALSE)</f>
        <v>ELIZABETH GELVES GELVES</v>
      </c>
      <c r="P33" s="71" t="s">
        <v>233</v>
      </c>
      <c r="Q33" s="73" t="s">
        <v>274</v>
      </c>
      <c r="R33" s="71" t="s">
        <v>249</v>
      </c>
      <c r="S33" s="75" t="s">
        <v>204</v>
      </c>
      <c r="T33" s="75" t="s">
        <v>275</v>
      </c>
      <c r="U33" s="75" t="s">
        <v>202</v>
      </c>
      <c r="V33" s="71" t="s">
        <v>256</v>
      </c>
      <c r="W33" s="75" t="s">
        <v>209</v>
      </c>
      <c r="X33" s="71" t="s">
        <v>259</v>
      </c>
      <c r="Y33" s="75" t="s">
        <v>206</v>
      </c>
      <c r="Z33" s="71" t="s">
        <v>207</v>
      </c>
      <c r="AA33" s="71" t="s">
        <v>196</v>
      </c>
      <c r="AB33" s="71" t="s">
        <v>267</v>
      </c>
      <c r="AC33" s="75" t="s">
        <v>200</v>
      </c>
      <c r="AD33" s="71" t="s">
        <v>201</v>
      </c>
      <c r="AE33" s="71" t="s">
        <v>198</v>
      </c>
      <c r="AF33" s="71" t="s">
        <v>266</v>
      </c>
      <c r="AG33" s="71" t="s">
        <v>254</v>
      </c>
      <c r="AH33" s="76" t="s">
        <v>255</v>
      </c>
      <c r="AK33" s="71"/>
      <c r="AL33" s="75" t="s">
        <v>218</v>
      </c>
      <c r="AM33" s="71"/>
      <c r="AN33" s="71"/>
      <c r="AO33" s="71" t="s">
        <v>194</v>
      </c>
      <c r="AP33" s="71" t="s">
        <v>195</v>
      </c>
      <c r="AQ33" s="71"/>
      <c r="AS33" s="71"/>
      <c r="AT33" s="75" t="s">
        <v>218</v>
      </c>
      <c r="AV33" s="75" t="s">
        <v>218</v>
      </c>
      <c r="AW33" s="75" t="s">
        <v>208</v>
      </c>
      <c r="AX33" s="75" t="str">
        <f t="shared" si="0"/>
        <v>HECTOR ANDRES CIPAMOCHA CENTENO</v>
      </c>
      <c r="BK33" s="71"/>
      <c r="BL33" s="71"/>
    </row>
    <row r="34" spans="1:64" x14ac:dyDescent="0.25">
      <c r="A34" s="70">
        <v>2977463</v>
      </c>
      <c r="B34" s="71" t="s">
        <v>245</v>
      </c>
      <c r="C34" s="71">
        <v>29</v>
      </c>
      <c r="D34" s="72" t="s">
        <v>271</v>
      </c>
      <c r="E34" s="73" t="s">
        <v>97</v>
      </c>
      <c r="F34" s="74">
        <f t="shared" si="2"/>
        <v>46066</v>
      </c>
      <c r="G34" s="73" t="s">
        <v>98</v>
      </c>
      <c r="H34" s="73" t="s">
        <v>282</v>
      </c>
      <c r="I34" s="71" t="s">
        <v>282</v>
      </c>
      <c r="J34" s="71" t="s">
        <v>213</v>
      </c>
      <c r="M34" s="70" t="s">
        <v>283</v>
      </c>
      <c r="N34" s="71" t="s">
        <v>233</v>
      </c>
      <c r="O34" s="71" t="str">
        <f>VLOOKUP(A34,Hoja4!$A$2:$B$247,2,FALSE)</f>
        <v>ELIZABETH GELVES GELVES</v>
      </c>
      <c r="P34" s="71" t="s">
        <v>233</v>
      </c>
      <c r="Q34" s="73" t="s">
        <v>274</v>
      </c>
      <c r="R34" s="71" t="s">
        <v>249</v>
      </c>
      <c r="S34" s="75" t="s">
        <v>204</v>
      </c>
      <c r="T34" s="75" t="s">
        <v>275</v>
      </c>
      <c r="U34" s="75" t="s">
        <v>202</v>
      </c>
      <c r="V34" s="71" t="s">
        <v>216</v>
      </c>
      <c r="W34" s="75" t="s">
        <v>209</v>
      </c>
      <c r="X34" s="71" t="s">
        <v>280</v>
      </c>
      <c r="Y34" s="75"/>
      <c r="AA34" s="71" t="s">
        <v>206</v>
      </c>
      <c r="AB34" s="71" t="s">
        <v>207</v>
      </c>
      <c r="AC34" s="75" t="s">
        <v>200</v>
      </c>
      <c r="AD34" s="71" t="s">
        <v>220</v>
      </c>
      <c r="AE34" s="71" t="s">
        <v>198</v>
      </c>
      <c r="AF34" s="71" t="s">
        <v>266</v>
      </c>
      <c r="AG34" s="71" t="s">
        <v>254</v>
      </c>
      <c r="AH34" s="76" t="s">
        <v>276</v>
      </c>
      <c r="AK34" s="71" t="s">
        <v>208</v>
      </c>
      <c r="AL34" s="75" t="s">
        <v>239</v>
      </c>
      <c r="AM34" s="71"/>
      <c r="AN34" s="71"/>
      <c r="AO34" s="71"/>
      <c r="AP34" s="71"/>
      <c r="AQ34" s="71"/>
      <c r="AS34" s="71"/>
      <c r="AT34" s="75" t="s">
        <v>218</v>
      </c>
      <c r="AV34" s="75" t="s">
        <v>218</v>
      </c>
      <c r="AW34" s="75" t="s">
        <v>194</v>
      </c>
      <c r="AX34" s="75" t="str">
        <f t="shared" si="0"/>
        <v>CAMILO ERNESTO CALDERON GALINDO</v>
      </c>
      <c r="BA34" s="75" t="s">
        <v>196</v>
      </c>
      <c r="BB34" s="75" t="str">
        <f>VLOOKUP(A34,_p8_2025,2,FALSE)</f>
        <v>JORGE ARMANDO PIEDRAHITA</v>
      </c>
      <c r="BK34" s="71"/>
      <c r="BL34" s="71"/>
    </row>
    <row r="35" spans="1:64" x14ac:dyDescent="0.25">
      <c r="A35" s="70">
        <v>2977464</v>
      </c>
      <c r="B35" s="71" t="s">
        <v>245</v>
      </c>
      <c r="C35" s="71">
        <v>23</v>
      </c>
      <c r="D35" s="72" t="s">
        <v>271</v>
      </c>
      <c r="E35" s="73" t="s">
        <v>97</v>
      </c>
      <c r="F35" s="74">
        <f t="shared" si="2"/>
        <v>46066</v>
      </c>
      <c r="G35" s="73" t="s">
        <v>98</v>
      </c>
      <c r="H35" s="73" t="s">
        <v>282</v>
      </c>
      <c r="I35" s="71" t="s">
        <v>282</v>
      </c>
      <c r="J35" s="71" t="s">
        <v>213</v>
      </c>
      <c r="M35" s="70" t="s">
        <v>283</v>
      </c>
      <c r="N35" s="71" t="s">
        <v>233</v>
      </c>
      <c r="O35" s="71" t="str">
        <f>VLOOKUP(A35,Hoja4!$A$2:$B$247,2,FALSE)</f>
        <v>ELIZABETH GELVES GELVES</v>
      </c>
      <c r="P35" s="71" t="s">
        <v>233</v>
      </c>
      <c r="Q35" s="73" t="s">
        <v>274</v>
      </c>
      <c r="R35" s="71" t="s">
        <v>249</v>
      </c>
      <c r="S35" s="75" t="s">
        <v>204</v>
      </c>
      <c r="T35" s="75" t="s">
        <v>275</v>
      </c>
      <c r="U35" s="75" t="s">
        <v>202</v>
      </c>
      <c r="V35" s="71" t="s">
        <v>250</v>
      </c>
      <c r="W35" s="75" t="s">
        <v>209</v>
      </c>
      <c r="X35" s="71" t="s">
        <v>280</v>
      </c>
      <c r="Y35" s="75" t="s">
        <v>206</v>
      </c>
      <c r="Z35" s="71" t="s">
        <v>270</v>
      </c>
      <c r="AA35" s="71" t="s">
        <v>200</v>
      </c>
      <c r="AB35" s="71" t="s">
        <v>220</v>
      </c>
      <c r="AC35" s="75" t="s">
        <v>198</v>
      </c>
      <c r="AD35" s="71" t="s">
        <v>199</v>
      </c>
      <c r="AE35" s="71" t="s">
        <v>196</v>
      </c>
      <c r="AF35" s="71" t="s">
        <v>267</v>
      </c>
      <c r="AG35" s="71" t="s">
        <v>254</v>
      </c>
      <c r="AH35" s="76" t="s">
        <v>276</v>
      </c>
      <c r="AK35" s="71"/>
      <c r="AL35" s="75" t="s">
        <v>218</v>
      </c>
      <c r="AM35" s="71"/>
      <c r="AN35" s="71"/>
      <c r="AO35" s="71" t="s">
        <v>194</v>
      </c>
      <c r="AP35" s="71" t="s">
        <v>195</v>
      </c>
      <c r="AQ35" s="71"/>
      <c r="AS35" s="71"/>
      <c r="AT35" s="75" t="s">
        <v>218</v>
      </c>
      <c r="AV35" s="75" t="s">
        <v>218</v>
      </c>
      <c r="AW35" s="75" t="s">
        <v>208</v>
      </c>
      <c r="AX35" s="75" t="str">
        <f t="shared" ref="AX35:AX66" si="3">IFERROR(VLOOKUP(A35,_p7_2025,2,FALSE),"")</f>
        <v>LAURA STHEPHANIA SANCHEZ PABON</v>
      </c>
      <c r="BK35" s="71"/>
      <c r="BL35" s="71"/>
    </row>
    <row r="36" spans="1:64" x14ac:dyDescent="0.25">
      <c r="A36" s="70">
        <v>2977465</v>
      </c>
      <c r="B36" s="71" t="s">
        <v>245</v>
      </c>
      <c r="C36" s="71">
        <v>25</v>
      </c>
      <c r="D36" s="72" t="s">
        <v>271</v>
      </c>
      <c r="E36" s="73" t="s">
        <v>97</v>
      </c>
      <c r="F36" s="74">
        <f t="shared" si="2"/>
        <v>46066</v>
      </c>
      <c r="G36" s="73" t="s">
        <v>98</v>
      </c>
      <c r="H36" s="73" t="s">
        <v>282</v>
      </c>
      <c r="I36" s="71" t="s">
        <v>282</v>
      </c>
      <c r="J36" s="71" t="s">
        <v>226</v>
      </c>
      <c r="M36" s="70" t="s">
        <v>283</v>
      </c>
      <c r="N36" s="71" t="s">
        <v>233</v>
      </c>
      <c r="O36" s="71" t="str">
        <f>VLOOKUP(A36,Hoja4!$A$2:$B$247,2,FALSE)</f>
        <v>ELIZABETH GELVES GELVES</v>
      </c>
      <c r="P36" s="71" t="s">
        <v>233</v>
      </c>
      <c r="Q36" s="73" t="s">
        <v>274</v>
      </c>
      <c r="R36" s="71" t="s">
        <v>249</v>
      </c>
      <c r="S36" s="75" t="s">
        <v>204</v>
      </c>
      <c r="T36" s="75" t="s">
        <v>275</v>
      </c>
      <c r="U36" s="75" t="s">
        <v>202</v>
      </c>
      <c r="V36" s="71" t="s">
        <v>250</v>
      </c>
      <c r="W36" s="75" t="s">
        <v>209</v>
      </c>
      <c r="X36" s="71" t="s">
        <v>236</v>
      </c>
      <c r="Y36" s="75" t="s">
        <v>206</v>
      </c>
      <c r="Z36" s="71" t="s">
        <v>213</v>
      </c>
      <c r="AA36" s="71" t="s">
        <v>200</v>
      </c>
      <c r="AB36" s="71" t="s">
        <v>201</v>
      </c>
      <c r="AC36" s="75" t="s">
        <v>198</v>
      </c>
      <c r="AD36" s="71" t="s">
        <v>266</v>
      </c>
      <c r="AE36" s="71" t="s">
        <v>196</v>
      </c>
      <c r="AF36" s="71" t="s">
        <v>267</v>
      </c>
      <c r="AG36" s="71" t="s">
        <v>254</v>
      </c>
      <c r="AH36" s="76" t="s">
        <v>255</v>
      </c>
      <c r="AK36" s="71" t="s">
        <v>194</v>
      </c>
      <c r="AL36" s="75" t="s">
        <v>195</v>
      </c>
      <c r="AM36" s="71"/>
      <c r="AN36" s="71"/>
      <c r="AO36" s="71" t="s">
        <v>208</v>
      </c>
      <c r="AP36" s="71" t="s">
        <v>235</v>
      </c>
      <c r="AQ36" s="71"/>
      <c r="AS36" s="71"/>
      <c r="AT36" s="75" t="s">
        <v>218</v>
      </c>
      <c r="AV36" s="75" t="s">
        <v>218</v>
      </c>
      <c r="AX36" s="75" t="str">
        <f t="shared" si="3"/>
        <v/>
      </c>
      <c r="BK36" s="71"/>
      <c r="BL36" s="71"/>
    </row>
    <row r="37" spans="1:64" x14ac:dyDescent="0.25">
      <c r="A37" s="70">
        <v>2977466</v>
      </c>
      <c r="B37" s="71" t="s">
        <v>245</v>
      </c>
      <c r="C37" s="71">
        <v>29</v>
      </c>
      <c r="D37" s="72" t="s">
        <v>271</v>
      </c>
      <c r="E37" s="73" t="s">
        <v>97</v>
      </c>
      <c r="F37" s="74">
        <f t="shared" si="2"/>
        <v>46066</v>
      </c>
      <c r="G37" s="73" t="s">
        <v>98</v>
      </c>
      <c r="H37" s="73" t="s">
        <v>284</v>
      </c>
      <c r="I37" s="71" t="s">
        <v>284</v>
      </c>
      <c r="J37" s="71" t="s">
        <v>226</v>
      </c>
      <c r="L37" s="71" t="s">
        <v>284</v>
      </c>
      <c r="M37" s="70" t="s">
        <v>285</v>
      </c>
      <c r="N37" s="71" t="s">
        <v>233</v>
      </c>
      <c r="O37" s="71" t="str">
        <f>VLOOKUP(A37,Hoja4!$A$2:$B$247,2,FALSE)</f>
        <v>JUAN CARLOS GUERRERO MALDONADO              </v>
      </c>
      <c r="P37" s="71" t="s">
        <v>233</v>
      </c>
      <c r="Q37" s="73" t="s">
        <v>274</v>
      </c>
      <c r="R37" s="71" t="s">
        <v>249</v>
      </c>
      <c r="S37" s="75" t="s">
        <v>204</v>
      </c>
      <c r="T37" s="75" t="s">
        <v>269</v>
      </c>
      <c r="U37" s="75" t="s">
        <v>202</v>
      </c>
      <c r="V37" s="71" t="s">
        <v>216</v>
      </c>
      <c r="W37" s="75" t="s">
        <v>209</v>
      </c>
      <c r="X37" s="71" t="s">
        <v>236</v>
      </c>
      <c r="Y37" s="75" t="s">
        <v>206</v>
      </c>
      <c r="Z37" s="71" t="s">
        <v>207</v>
      </c>
      <c r="AA37" s="71" t="s">
        <v>200</v>
      </c>
      <c r="AB37" s="71" t="s">
        <v>201</v>
      </c>
      <c r="AC37" s="75" t="s">
        <v>198</v>
      </c>
      <c r="AD37" s="71" t="s">
        <v>199</v>
      </c>
      <c r="AE37" s="71" t="s">
        <v>196</v>
      </c>
      <c r="AF37" s="71" t="s">
        <v>219</v>
      </c>
      <c r="AG37" s="71" t="s">
        <v>254</v>
      </c>
      <c r="AH37" s="76" t="s">
        <v>276</v>
      </c>
      <c r="AK37" s="71" t="s">
        <v>194</v>
      </c>
      <c r="AL37" s="75" t="s">
        <v>195</v>
      </c>
      <c r="AM37" s="71"/>
      <c r="AN37" s="71"/>
      <c r="AO37" s="71" t="s">
        <v>208</v>
      </c>
      <c r="AP37" s="71" t="s">
        <v>235</v>
      </c>
      <c r="AQ37" s="71"/>
      <c r="AS37" s="71"/>
      <c r="AT37" s="75" t="s">
        <v>218</v>
      </c>
      <c r="AV37" s="75" t="s">
        <v>218</v>
      </c>
      <c r="AX37" s="75" t="str">
        <f t="shared" si="3"/>
        <v/>
      </c>
      <c r="BK37" s="71"/>
      <c r="BL37" s="71"/>
    </row>
    <row r="38" spans="1:64" x14ac:dyDescent="0.25">
      <c r="A38" s="70">
        <v>2977467</v>
      </c>
      <c r="B38" s="71" t="s">
        <v>245</v>
      </c>
      <c r="C38" s="71">
        <v>27</v>
      </c>
      <c r="D38" s="72" t="s">
        <v>271</v>
      </c>
      <c r="E38" s="73" t="s">
        <v>97</v>
      </c>
      <c r="F38" s="74">
        <f t="shared" si="2"/>
        <v>46066</v>
      </c>
      <c r="G38" s="73" t="s">
        <v>98</v>
      </c>
      <c r="H38" s="73" t="s">
        <v>284</v>
      </c>
      <c r="I38" s="71" t="s">
        <v>284</v>
      </c>
      <c r="J38" s="71" t="s">
        <v>226</v>
      </c>
      <c r="L38" s="71" t="s">
        <v>284</v>
      </c>
      <c r="M38" s="70" t="s">
        <v>285</v>
      </c>
      <c r="N38" s="71" t="s">
        <v>233</v>
      </c>
      <c r="O38" s="71" t="str">
        <f>VLOOKUP(A38,Hoja4!$A$2:$B$247,2,FALSE)</f>
        <v>JUAN CARLOS GUERRERO MALDONADO              </v>
      </c>
      <c r="P38" s="71" t="s">
        <v>233</v>
      </c>
      <c r="Q38" s="73" t="s">
        <v>274</v>
      </c>
      <c r="R38" s="71" t="s">
        <v>249</v>
      </c>
      <c r="S38" s="75" t="s">
        <v>204</v>
      </c>
      <c r="T38" s="75" t="s">
        <v>269</v>
      </c>
      <c r="U38" s="75" t="s">
        <v>202</v>
      </c>
      <c r="V38" s="71" t="s">
        <v>256</v>
      </c>
      <c r="W38" s="75" t="s">
        <v>209</v>
      </c>
      <c r="X38" s="71" t="s">
        <v>251</v>
      </c>
      <c r="Y38" s="75" t="s">
        <v>206</v>
      </c>
      <c r="Z38" s="71" t="s">
        <v>213</v>
      </c>
      <c r="AA38" s="71" t="s">
        <v>200</v>
      </c>
      <c r="AB38" s="71" t="s">
        <v>286</v>
      </c>
      <c r="AC38" s="75" t="s">
        <v>198</v>
      </c>
      <c r="AD38" s="71" t="s">
        <v>199</v>
      </c>
      <c r="AE38" s="71" t="s">
        <v>196</v>
      </c>
      <c r="AF38" s="71" t="s">
        <v>219</v>
      </c>
      <c r="AG38" s="71" t="s">
        <v>254</v>
      </c>
      <c r="AH38" s="76" t="s">
        <v>255</v>
      </c>
      <c r="AK38" s="71" t="s">
        <v>194</v>
      </c>
      <c r="AL38" s="75" t="s">
        <v>195</v>
      </c>
      <c r="AM38" s="71"/>
      <c r="AN38" s="71"/>
      <c r="AO38" s="71" t="s">
        <v>208</v>
      </c>
      <c r="AP38" s="71" t="s">
        <v>239</v>
      </c>
      <c r="AQ38" s="71"/>
      <c r="AS38" s="71"/>
      <c r="AT38" s="75" t="s">
        <v>218</v>
      </c>
      <c r="AV38" s="75" t="s">
        <v>218</v>
      </c>
      <c r="AX38" s="75" t="str">
        <f t="shared" si="3"/>
        <v/>
      </c>
      <c r="BK38" s="71"/>
      <c r="BL38" s="71"/>
    </row>
    <row r="39" spans="1:64" x14ac:dyDescent="0.25">
      <c r="A39" s="70">
        <v>2977468</v>
      </c>
      <c r="B39" s="71" t="s">
        <v>245</v>
      </c>
      <c r="C39" s="71">
        <v>28</v>
      </c>
      <c r="D39" s="72" t="s">
        <v>271</v>
      </c>
      <c r="E39" s="73" t="s">
        <v>97</v>
      </c>
      <c r="F39" s="74">
        <f t="shared" si="2"/>
        <v>46066</v>
      </c>
      <c r="G39" s="73" t="s">
        <v>98</v>
      </c>
      <c r="H39" s="73" t="s">
        <v>284</v>
      </c>
      <c r="I39" s="71" t="s">
        <v>284</v>
      </c>
      <c r="J39" s="71" t="s">
        <v>226</v>
      </c>
      <c r="L39" s="71" t="s">
        <v>284</v>
      </c>
      <c r="M39" s="70" t="s">
        <v>285</v>
      </c>
      <c r="N39" s="71" t="s">
        <v>287</v>
      </c>
      <c r="O39" s="71" t="str">
        <f>VLOOKUP(A39,Hoja4!$A$2:$B$247,2,FALSE)</f>
        <v>JUAN CARLOS GUERRERO MALDONADO              </v>
      </c>
      <c r="Q39" s="73" t="s">
        <v>274</v>
      </c>
      <c r="R39" s="71" t="s">
        <v>249</v>
      </c>
      <c r="S39" s="75" t="s">
        <v>204</v>
      </c>
      <c r="T39" s="75" t="s">
        <v>269</v>
      </c>
      <c r="U39" s="75" t="s">
        <v>196</v>
      </c>
      <c r="V39" s="71" t="s">
        <v>252</v>
      </c>
      <c r="W39" s="75" t="s">
        <v>200</v>
      </c>
      <c r="X39" s="71" t="s">
        <v>201</v>
      </c>
      <c r="Y39" s="75" t="s">
        <v>198</v>
      </c>
      <c r="Z39" s="71" t="s">
        <v>266</v>
      </c>
      <c r="AA39" s="71" t="s">
        <v>254</v>
      </c>
      <c r="AB39" s="71" t="s">
        <v>288</v>
      </c>
      <c r="AC39" s="75" t="s">
        <v>194</v>
      </c>
      <c r="AD39" s="71" t="s">
        <v>277</v>
      </c>
      <c r="AE39" s="71" t="s">
        <v>209</v>
      </c>
      <c r="AF39" s="71" t="s">
        <v>236</v>
      </c>
      <c r="AG39" s="71" t="s">
        <v>206</v>
      </c>
      <c r="AH39" s="76" t="s">
        <v>207</v>
      </c>
      <c r="AK39" s="71" t="s">
        <v>202</v>
      </c>
      <c r="AL39" s="75" t="s">
        <v>216</v>
      </c>
      <c r="AM39" s="71"/>
      <c r="AN39" s="71"/>
      <c r="AO39" s="71" t="s">
        <v>208</v>
      </c>
      <c r="AP39" s="71" t="s">
        <v>239</v>
      </c>
      <c r="AQ39" s="71"/>
      <c r="AS39" s="71"/>
      <c r="AT39" s="75" t="s">
        <v>218</v>
      </c>
      <c r="AV39" s="75" t="s">
        <v>218</v>
      </c>
      <c r="AX39" s="75" t="str">
        <f t="shared" si="3"/>
        <v/>
      </c>
      <c r="BK39" s="71"/>
      <c r="BL39" s="71"/>
    </row>
    <row r="40" spans="1:64" x14ac:dyDescent="0.25">
      <c r="A40" s="70">
        <v>2977469</v>
      </c>
      <c r="B40" s="71" t="s">
        <v>245</v>
      </c>
      <c r="C40" s="71">
        <v>40</v>
      </c>
      <c r="D40" s="72" t="s">
        <v>271</v>
      </c>
      <c r="E40" s="73" t="s">
        <v>97</v>
      </c>
      <c r="F40" s="74">
        <f t="shared" si="2"/>
        <v>46066</v>
      </c>
      <c r="G40" s="73" t="s">
        <v>98</v>
      </c>
      <c r="H40" s="73" t="s">
        <v>279</v>
      </c>
      <c r="I40" s="71" t="s">
        <v>279</v>
      </c>
      <c r="J40" s="71" t="s">
        <v>226</v>
      </c>
      <c r="M40" s="70" t="s">
        <v>279</v>
      </c>
      <c r="N40" s="71" t="s">
        <v>287</v>
      </c>
      <c r="O40" s="71" t="str">
        <f>VLOOKUP(A40,Hoja4!$A$2:$B$247,2,FALSE)</f>
        <v>ANA MILENA MOSQUERA SEVILLA         </v>
      </c>
      <c r="Q40" s="73" t="s">
        <v>274</v>
      </c>
      <c r="R40" s="71" t="s">
        <v>249</v>
      </c>
      <c r="S40" s="75" t="s">
        <v>204</v>
      </c>
      <c r="T40" s="75" t="s">
        <v>269</v>
      </c>
      <c r="U40" s="75" t="s">
        <v>208</v>
      </c>
      <c r="V40" s="71" t="s">
        <v>289</v>
      </c>
      <c r="W40" s="75" t="s">
        <v>200</v>
      </c>
      <c r="X40" s="71" t="s">
        <v>220</v>
      </c>
      <c r="Y40" s="75" t="s">
        <v>198</v>
      </c>
      <c r="Z40" s="71" t="s">
        <v>266</v>
      </c>
      <c r="AA40" s="71" t="s">
        <v>209</v>
      </c>
      <c r="AB40" s="71" t="s">
        <v>251</v>
      </c>
      <c r="AC40" s="75" t="s">
        <v>196</v>
      </c>
      <c r="AD40" s="71" t="s">
        <v>267</v>
      </c>
      <c r="AE40" s="71" t="s">
        <v>254</v>
      </c>
      <c r="AF40" s="71" t="s">
        <v>255</v>
      </c>
      <c r="AG40" s="71" t="s">
        <v>194</v>
      </c>
      <c r="AH40" s="76" t="s">
        <v>195</v>
      </c>
      <c r="AK40" s="71" t="s">
        <v>206</v>
      </c>
      <c r="AL40" s="75" t="s">
        <v>207</v>
      </c>
      <c r="AM40" s="71"/>
      <c r="AN40" s="71"/>
      <c r="AO40" s="71"/>
      <c r="AP40" s="71"/>
      <c r="AQ40" s="71"/>
      <c r="AS40" s="71"/>
      <c r="AT40" s="75" t="s">
        <v>218</v>
      </c>
      <c r="AV40" s="75" t="s">
        <v>218</v>
      </c>
      <c r="AW40" s="75" t="s">
        <v>202</v>
      </c>
      <c r="AX40" s="75" t="str">
        <f t="shared" si="3"/>
        <v>CHRISTIAN CAMILO RODRIGUEZ SALAS</v>
      </c>
      <c r="BK40" s="71"/>
      <c r="BL40" s="71"/>
    </row>
    <row r="41" spans="1:64" x14ac:dyDescent="0.25">
      <c r="A41" s="70">
        <v>2977470</v>
      </c>
      <c r="B41" s="71" t="s">
        <v>245</v>
      </c>
      <c r="C41" s="71">
        <v>26</v>
      </c>
      <c r="D41" s="72" t="s">
        <v>271</v>
      </c>
      <c r="E41" s="73" t="s">
        <v>97</v>
      </c>
      <c r="F41" s="74">
        <f t="shared" si="2"/>
        <v>46066</v>
      </c>
      <c r="G41" s="73" t="s">
        <v>98</v>
      </c>
      <c r="H41" s="73" t="s">
        <v>290</v>
      </c>
      <c r="I41" s="71" t="s">
        <v>290</v>
      </c>
      <c r="J41" s="71" t="s">
        <v>226</v>
      </c>
      <c r="M41" s="70" t="s">
        <v>291</v>
      </c>
      <c r="N41" s="71" t="s">
        <v>287</v>
      </c>
      <c r="O41" s="71" t="str">
        <f>VLOOKUP(A41,Hoja4!$A$2:$B$247,2,FALSE)</f>
        <v>GUSTAVO ADOLFO CHACÓN</v>
      </c>
      <c r="Q41" s="73" t="s">
        <v>274</v>
      </c>
      <c r="R41" s="71" t="s">
        <v>249</v>
      </c>
      <c r="S41" s="75" t="s">
        <v>204</v>
      </c>
      <c r="T41" s="75" t="s">
        <v>269</v>
      </c>
      <c r="U41" s="75" t="s">
        <v>208</v>
      </c>
      <c r="V41" s="71" t="s">
        <v>235</v>
      </c>
      <c r="W41" s="75" t="s">
        <v>200</v>
      </c>
      <c r="X41" s="71" t="s">
        <v>201</v>
      </c>
      <c r="Y41" s="75" t="s">
        <v>198</v>
      </c>
      <c r="Z41" s="71" t="s">
        <v>290</v>
      </c>
      <c r="AA41" s="71" t="s">
        <v>209</v>
      </c>
      <c r="AB41" s="71" t="s">
        <v>251</v>
      </c>
      <c r="AC41" s="75" t="s">
        <v>196</v>
      </c>
      <c r="AD41" s="71" t="s">
        <v>267</v>
      </c>
      <c r="AE41" s="71" t="s">
        <v>254</v>
      </c>
      <c r="AF41" s="71" t="s">
        <v>255</v>
      </c>
      <c r="AG41" s="71" t="s">
        <v>194</v>
      </c>
      <c r="AH41" s="76" t="s">
        <v>195</v>
      </c>
      <c r="AK41" s="71" t="s">
        <v>206</v>
      </c>
      <c r="AL41" s="75" t="s">
        <v>213</v>
      </c>
      <c r="AM41" s="71"/>
      <c r="AN41" s="71"/>
      <c r="AO41" s="71"/>
      <c r="AP41" s="71"/>
      <c r="AQ41" s="71"/>
      <c r="AS41" s="71"/>
      <c r="AT41" s="75" t="s">
        <v>218</v>
      </c>
      <c r="AV41" s="75" t="s">
        <v>218</v>
      </c>
      <c r="AW41" s="75" t="s">
        <v>202</v>
      </c>
      <c r="AX41" s="75" t="str">
        <f t="shared" si="3"/>
        <v>MELISSA ANDREA LAITON GARNICA</v>
      </c>
      <c r="BK41" s="71"/>
      <c r="BL41" s="71"/>
    </row>
    <row r="42" spans="1:64" x14ac:dyDescent="0.25">
      <c r="A42" s="70">
        <v>2977471</v>
      </c>
      <c r="B42" s="71" t="s">
        <v>245</v>
      </c>
      <c r="C42" s="71">
        <v>28</v>
      </c>
      <c r="D42" s="72" t="s">
        <v>271</v>
      </c>
      <c r="E42" s="73" t="s">
        <v>97</v>
      </c>
      <c r="F42" s="74">
        <f t="shared" si="2"/>
        <v>46066</v>
      </c>
      <c r="G42" s="73" t="s">
        <v>98</v>
      </c>
      <c r="H42" s="73" t="s">
        <v>290</v>
      </c>
      <c r="I42" s="71" t="s">
        <v>290</v>
      </c>
      <c r="J42" s="71" t="s">
        <v>226</v>
      </c>
      <c r="M42" s="70" t="s">
        <v>291</v>
      </c>
      <c r="N42" s="71" t="s">
        <v>287</v>
      </c>
      <c r="O42" s="71" t="str">
        <f>VLOOKUP(A42,Hoja4!$A$2:$B$247,2,FALSE)</f>
        <v>GUSTAVO ADOLFO CHACÓN</v>
      </c>
      <c r="Q42" s="73" t="s">
        <v>274</v>
      </c>
      <c r="R42" s="71" t="s">
        <v>249</v>
      </c>
      <c r="S42" s="75" t="s">
        <v>204</v>
      </c>
      <c r="T42" s="75" t="s">
        <v>269</v>
      </c>
      <c r="U42" s="75" t="s">
        <v>208</v>
      </c>
      <c r="V42" s="71" t="s">
        <v>235</v>
      </c>
      <c r="W42" s="75" t="s">
        <v>202</v>
      </c>
      <c r="X42" s="71" t="s">
        <v>216</v>
      </c>
      <c r="Y42" s="75" t="s">
        <v>254</v>
      </c>
      <c r="Z42" s="71" t="s">
        <v>276</v>
      </c>
      <c r="AA42" s="71" t="s">
        <v>200</v>
      </c>
      <c r="AB42" s="71" t="s">
        <v>286</v>
      </c>
      <c r="AC42" s="75" t="s">
        <v>198</v>
      </c>
      <c r="AD42" s="71" t="s">
        <v>266</v>
      </c>
      <c r="AE42" s="71" t="s">
        <v>196</v>
      </c>
      <c r="AF42" s="71" t="s">
        <v>267</v>
      </c>
      <c r="AG42" s="71" t="s">
        <v>209</v>
      </c>
      <c r="AH42" s="76" t="s">
        <v>226</v>
      </c>
      <c r="AK42" s="71" t="s">
        <v>194</v>
      </c>
      <c r="AL42" s="75" t="s">
        <v>195</v>
      </c>
      <c r="AM42" s="71"/>
      <c r="AN42" s="71"/>
      <c r="AO42" s="71" t="s">
        <v>206</v>
      </c>
      <c r="AP42" s="71" t="s">
        <v>213</v>
      </c>
      <c r="AQ42" s="71"/>
      <c r="AS42" s="71"/>
      <c r="AT42" s="75" t="s">
        <v>218</v>
      </c>
      <c r="AV42" s="75" t="s">
        <v>218</v>
      </c>
      <c r="AX42" s="75" t="str">
        <f t="shared" si="3"/>
        <v/>
      </c>
      <c r="BK42" s="71"/>
      <c r="BL42" s="71"/>
    </row>
    <row r="43" spans="1:64" x14ac:dyDescent="0.25">
      <c r="A43" s="70">
        <v>2977472</v>
      </c>
      <c r="B43" s="71" t="s">
        <v>245</v>
      </c>
      <c r="C43" s="71">
        <v>33</v>
      </c>
      <c r="D43" s="72" t="s">
        <v>271</v>
      </c>
      <c r="E43" s="73" t="s">
        <v>97</v>
      </c>
      <c r="F43" s="74">
        <f t="shared" si="2"/>
        <v>46066</v>
      </c>
      <c r="G43" s="73" t="s">
        <v>98</v>
      </c>
      <c r="H43" s="73" t="s">
        <v>290</v>
      </c>
      <c r="I43" s="71" t="s">
        <v>290</v>
      </c>
      <c r="J43" s="71" t="s">
        <v>226</v>
      </c>
      <c r="M43" s="70" t="s">
        <v>291</v>
      </c>
      <c r="N43" s="71" t="s">
        <v>287</v>
      </c>
      <c r="O43" s="71" t="str">
        <f>VLOOKUP(A43,Hoja4!$A$2:$B$247,2,FALSE)</f>
        <v>GUSTAVO ADOLFO CHACÓN</v>
      </c>
      <c r="Q43" s="73" t="s">
        <v>274</v>
      </c>
      <c r="R43" s="71" t="s">
        <v>249</v>
      </c>
      <c r="S43" s="75" t="s">
        <v>204</v>
      </c>
      <c r="T43" s="75" t="s">
        <v>269</v>
      </c>
      <c r="U43" s="75" t="s">
        <v>208</v>
      </c>
      <c r="V43" s="71" t="s">
        <v>289</v>
      </c>
      <c r="W43" s="75" t="s">
        <v>200</v>
      </c>
      <c r="X43" s="71" t="s">
        <v>286</v>
      </c>
      <c r="Y43" s="75" t="s">
        <v>198</v>
      </c>
      <c r="Z43" s="71" t="s">
        <v>290</v>
      </c>
      <c r="AA43" s="71" t="s">
        <v>209</v>
      </c>
      <c r="AB43" s="71" t="s">
        <v>236</v>
      </c>
      <c r="AC43" s="75" t="s">
        <v>196</v>
      </c>
      <c r="AD43" s="71" t="s">
        <v>267</v>
      </c>
      <c r="AE43" s="71" t="s">
        <v>254</v>
      </c>
      <c r="AF43" s="71" t="s">
        <v>255</v>
      </c>
      <c r="AG43" s="71" t="s">
        <v>194</v>
      </c>
      <c r="AH43" s="76" t="s">
        <v>195</v>
      </c>
      <c r="AK43" s="71" t="s">
        <v>206</v>
      </c>
      <c r="AL43" s="75" t="s">
        <v>207</v>
      </c>
      <c r="AM43" s="71"/>
      <c r="AN43" s="71"/>
      <c r="AO43" s="71" t="s">
        <v>202</v>
      </c>
      <c r="AP43" s="71" t="s">
        <v>203</v>
      </c>
      <c r="AQ43" s="71"/>
      <c r="AS43" s="71"/>
      <c r="AT43" s="75" t="s">
        <v>218</v>
      </c>
      <c r="AV43" s="75" t="s">
        <v>218</v>
      </c>
      <c r="AX43" s="75" t="str">
        <f t="shared" si="3"/>
        <v/>
      </c>
      <c r="BK43" s="71"/>
      <c r="BL43" s="71"/>
    </row>
    <row r="44" spans="1:64" x14ac:dyDescent="0.25">
      <c r="A44" s="70">
        <v>2977473</v>
      </c>
      <c r="B44" s="71" t="s">
        <v>245</v>
      </c>
      <c r="C44" s="71">
        <v>27</v>
      </c>
      <c r="D44" s="72" t="s">
        <v>271</v>
      </c>
      <c r="E44" s="73" t="s">
        <v>97</v>
      </c>
      <c r="F44" s="74">
        <f t="shared" si="2"/>
        <v>46066</v>
      </c>
      <c r="G44" s="73" t="s">
        <v>98</v>
      </c>
      <c r="H44" s="73" t="s">
        <v>290</v>
      </c>
      <c r="I44" s="71" t="s">
        <v>290</v>
      </c>
      <c r="J44" s="71" t="s">
        <v>226</v>
      </c>
      <c r="M44" s="70" t="s">
        <v>291</v>
      </c>
      <c r="N44" s="71" t="s">
        <v>287</v>
      </c>
      <c r="O44" s="71" t="str">
        <f>VLOOKUP(A44,Hoja4!$A$2:$B$247,2,FALSE)</f>
        <v>GUSTAVO ADOLFO CHACÓN</v>
      </c>
      <c r="Q44" s="73" t="s">
        <v>274</v>
      </c>
      <c r="R44" s="71" t="s">
        <v>249</v>
      </c>
      <c r="S44" s="75" t="s">
        <v>204</v>
      </c>
      <c r="T44" s="75" t="s">
        <v>269</v>
      </c>
      <c r="U44" s="75" t="s">
        <v>208</v>
      </c>
      <c r="V44" s="71" t="s">
        <v>235</v>
      </c>
      <c r="W44" s="75" t="s">
        <v>200</v>
      </c>
      <c r="X44" s="71" t="s">
        <v>220</v>
      </c>
      <c r="Y44" s="75" t="s">
        <v>198</v>
      </c>
      <c r="Z44" s="71" t="s">
        <v>290</v>
      </c>
      <c r="AA44" s="71" t="s">
        <v>209</v>
      </c>
      <c r="AB44" s="71" t="s">
        <v>236</v>
      </c>
      <c r="AC44" s="75"/>
      <c r="AE44" s="71" t="s">
        <v>196</v>
      </c>
      <c r="AF44" s="71" t="s">
        <v>219</v>
      </c>
      <c r="AG44" s="71" t="s">
        <v>254</v>
      </c>
      <c r="AH44" s="76" t="s">
        <v>255</v>
      </c>
      <c r="AK44" s="71" t="s">
        <v>194</v>
      </c>
      <c r="AL44" s="75" t="s">
        <v>195</v>
      </c>
      <c r="AM44" s="71"/>
      <c r="AN44" s="71"/>
      <c r="AO44" s="71" t="s">
        <v>206</v>
      </c>
      <c r="AP44" s="71" t="s">
        <v>207</v>
      </c>
      <c r="AQ44" s="71"/>
      <c r="AS44" s="71"/>
      <c r="AT44" s="75" t="s">
        <v>218</v>
      </c>
      <c r="AV44" s="75" t="s">
        <v>218</v>
      </c>
      <c r="AW44" s="75" t="s">
        <v>202</v>
      </c>
      <c r="AX44" s="75" t="str">
        <f t="shared" si="3"/>
        <v>CHRISTIAN CAMILO RODRIGUEZ SALAS</v>
      </c>
      <c r="BK44" s="71"/>
      <c r="BL44" s="71"/>
    </row>
    <row r="45" spans="1:64" x14ac:dyDescent="0.25">
      <c r="A45" s="70">
        <v>2977634</v>
      </c>
      <c r="B45" s="71" t="s">
        <v>245</v>
      </c>
      <c r="C45" s="71">
        <v>23</v>
      </c>
      <c r="D45" s="72" t="s">
        <v>100</v>
      </c>
      <c r="E45" s="73" t="s">
        <v>97</v>
      </c>
      <c r="F45" s="74">
        <f t="shared" si="2"/>
        <v>46066</v>
      </c>
      <c r="G45" s="73" t="s">
        <v>98</v>
      </c>
      <c r="H45" s="73" t="s">
        <v>292</v>
      </c>
      <c r="I45" s="71" t="s">
        <v>292</v>
      </c>
      <c r="J45" s="71" t="s">
        <v>261</v>
      </c>
      <c r="M45" s="70" t="s">
        <v>292</v>
      </c>
      <c r="N45" s="71" t="s">
        <v>287</v>
      </c>
      <c r="O45" s="71" t="str">
        <f>VLOOKUP(A45,Hoja4!$A$2:$B$247,2,FALSE)</f>
        <v>VIVIANA MARCELA AGUDELO GARCÍA  </v>
      </c>
      <c r="Q45" s="73" t="s">
        <v>293</v>
      </c>
      <c r="R45" s="71" t="s">
        <v>294</v>
      </c>
      <c r="S45" s="75" t="s">
        <v>196</v>
      </c>
      <c r="T45" s="75" t="s">
        <v>252</v>
      </c>
      <c r="U45" s="75" t="s">
        <v>209</v>
      </c>
      <c r="V45" s="71" t="s">
        <v>251</v>
      </c>
      <c r="W45" s="75" t="s">
        <v>202</v>
      </c>
      <c r="X45" s="71" t="s">
        <v>216</v>
      </c>
      <c r="Y45" s="75" t="s">
        <v>204</v>
      </c>
      <c r="Z45" s="71" t="s">
        <v>258</v>
      </c>
      <c r="AA45" s="71" t="s">
        <v>242</v>
      </c>
      <c r="AB45" s="71" t="s">
        <v>243</v>
      </c>
      <c r="AC45" s="75" t="s">
        <v>198</v>
      </c>
      <c r="AD45" s="71" t="s">
        <v>266</v>
      </c>
      <c r="AE45" s="71" t="s">
        <v>254</v>
      </c>
      <c r="AF45" s="71" t="s">
        <v>255</v>
      </c>
      <c r="AG45" s="71" t="s">
        <v>200</v>
      </c>
      <c r="AH45" s="76" t="s">
        <v>220</v>
      </c>
      <c r="AK45" s="71" t="s">
        <v>206</v>
      </c>
      <c r="AL45" s="75" t="s">
        <v>213</v>
      </c>
      <c r="AM45" s="71"/>
      <c r="AN45" s="71"/>
      <c r="AO45" s="71" t="s">
        <v>208</v>
      </c>
      <c r="AP45" s="71" t="s">
        <v>235</v>
      </c>
      <c r="AQ45" s="71"/>
      <c r="AS45" s="71"/>
      <c r="AT45" s="75" t="s">
        <v>218</v>
      </c>
      <c r="AV45" s="75" t="s">
        <v>218</v>
      </c>
      <c r="AX45" s="75" t="str">
        <f t="shared" si="3"/>
        <v/>
      </c>
      <c r="BK45" s="71"/>
      <c r="BL45" s="71"/>
    </row>
    <row r="46" spans="1:64" x14ac:dyDescent="0.25">
      <c r="A46" s="70">
        <v>2977635</v>
      </c>
      <c r="B46" s="71" t="s">
        <v>245</v>
      </c>
      <c r="C46" s="71">
        <v>31</v>
      </c>
      <c r="D46" s="72" t="s">
        <v>100</v>
      </c>
      <c r="E46" s="73" t="s">
        <v>97</v>
      </c>
      <c r="F46" s="74">
        <f t="shared" si="2"/>
        <v>46066</v>
      </c>
      <c r="G46" s="73" t="s">
        <v>98</v>
      </c>
      <c r="H46" s="73" t="s">
        <v>292</v>
      </c>
      <c r="I46" s="71" t="s">
        <v>292</v>
      </c>
      <c r="J46" s="71" t="s">
        <v>261</v>
      </c>
      <c r="M46" s="70" t="s">
        <v>292</v>
      </c>
      <c r="N46" s="71" t="s">
        <v>287</v>
      </c>
      <c r="O46" s="71" t="str">
        <f>VLOOKUP(A46,Hoja4!$A$2:$B$247,2,FALSE)</f>
        <v>VIVIANA MARCELA AGUDELO GARCÍA  </v>
      </c>
      <c r="Q46" s="73" t="s">
        <v>293</v>
      </c>
      <c r="R46" s="71" t="s">
        <v>294</v>
      </c>
      <c r="S46" s="75" t="s">
        <v>196</v>
      </c>
      <c r="T46" s="75" t="s">
        <v>267</v>
      </c>
      <c r="U46" s="75" t="s">
        <v>209</v>
      </c>
      <c r="V46" s="71" t="s">
        <v>236</v>
      </c>
      <c r="W46" s="75" t="s">
        <v>202</v>
      </c>
      <c r="X46" s="71" t="s">
        <v>256</v>
      </c>
      <c r="Y46" s="75" t="s">
        <v>204</v>
      </c>
      <c r="Z46" s="71" t="s">
        <v>269</v>
      </c>
      <c r="AA46" s="71" t="s">
        <v>242</v>
      </c>
      <c r="AB46" s="71" t="s">
        <v>243</v>
      </c>
      <c r="AC46" s="75" t="s">
        <v>198</v>
      </c>
      <c r="AD46" s="71" t="s">
        <v>199</v>
      </c>
      <c r="AE46" s="71" t="s">
        <v>254</v>
      </c>
      <c r="AF46" s="71" t="s">
        <v>255</v>
      </c>
      <c r="AG46" s="71" t="s">
        <v>200</v>
      </c>
      <c r="AH46" s="76" t="s">
        <v>214</v>
      </c>
      <c r="AK46" s="71" t="s">
        <v>206</v>
      </c>
      <c r="AL46" s="75" t="s">
        <v>207</v>
      </c>
      <c r="AM46" s="71"/>
      <c r="AN46" s="71"/>
      <c r="AO46" s="71" t="s">
        <v>208</v>
      </c>
      <c r="AP46" s="71" t="s">
        <v>278</v>
      </c>
      <c r="AQ46" s="71"/>
      <c r="AS46" s="71"/>
      <c r="AT46" s="75" t="s">
        <v>218</v>
      </c>
      <c r="AV46" s="75" t="s">
        <v>218</v>
      </c>
      <c r="AX46" s="75" t="str">
        <f t="shared" si="3"/>
        <v/>
      </c>
      <c r="BK46" s="71"/>
      <c r="BL46" s="71"/>
    </row>
    <row r="47" spans="1:64" x14ac:dyDescent="0.25">
      <c r="A47" s="70">
        <v>2977636</v>
      </c>
      <c r="B47" s="71" t="s">
        <v>245</v>
      </c>
      <c r="C47" s="71">
        <v>22</v>
      </c>
      <c r="D47" s="72" t="s">
        <v>100</v>
      </c>
      <c r="E47" s="73" t="s">
        <v>97</v>
      </c>
      <c r="F47" s="74">
        <f t="shared" si="2"/>
        <v>46066</v>
      </c>
      <c r="G47" s="73" t="s">
        <v>98</v>
      </c>
      <c r="H47" s="73" t="s">
        <v>292</v>
      </c>
      <c r="I47" s="71" t="s">
        <v>292</v>
      </c>
      <c r="J47" s="71" t="s">
        <v>261</v>
      </c>
      <c r="M47" s="70" t="s">
        <v>292</v>
      </c>
      <c r="N47" s="71" t="s">
        <v>287</v>
      </c>
      <c r="O47" s="71" t="str">
        <f>VLOOKUP(A47,Hoja4!$A$2:$B$247,2,FALSE)</f>
        <v>VIVIANA MARCELA AGUDELO GARCÍA  </v>
      </c>
      <c r="Q47" s="73" t="s">
        <v>293</v>
      </c>
      <c r="R47" s="71" t="s">
        <v>294</v>
      </c>
      <c r="S47" s="75" t="s">
        <v>200</v>
      </c>
      <c r="T47" s="75" t="s">
        <v>201</v>
      </c>
      <c r="U47" s="75" t="s">
        <v>209</v>
      </c>
      <c r="V47" s="71" t="s">
        <v>236</v>
      </c>
      <c r="W47" s="75" t="s">
        <v>204</v>
      </c>
      <c r="X47" s="71" t="s">
        <v>275</v>
      </c>
      <c r="Y47" s="75" t="s">
        <v>198</v>
      </c>
      <c r="Z47" s="71" t="s">
        <v>266</v>
      </c>
      <c r="AA47" s="71" t="s">
        <v>242</v>
      </c>
      <c r="AB47" s="71" t="s">
        <v>257</v>
      </c>
      <c r="AC47" s="75" t="s">
        <v>202</v>
      </c>
      <c r="AD47" s="71" t="s">
        <v>216</v>
      </c>
      <c r="AE47" s="71" t="s">
        <v>206</v>
      </c>
      <c r="AF47" s="71" t="s">
        <v>227</v>
      </c>
      <c r="AG47" s="71" t="s">
        <v>196</v>
      </c>
      <c r="AH47" s="76" t="s">
        <v>197</v>
      </c>
      <c r="AK47" s="71"/>
      <c r="AL47" s="75" t="s">
        <v>218</v>
      </c>
      <c r="AM47" s="71"/>
      <c r="AN47" s="71"/>
      <c r="AO47" s="71" t="s">
        <v>208</v>
      </c>
      <c r="AP47" s="71" t="s">
        <v>239</v>
      </c>
      <c r="AQ47" s="71"/>
      <c r="AS47" s="71" t="s">
        <v>254</v>
      </c>
      <c r="AT47" s="75" t="s">
        <v>255</v>
      </c>
      <c r="AV47" s="75" t="s">
        <v>218</v>
      </c>
      <c r="AX47" s="75" t="str">
        <f t="shared" si="3"/>
        <v/>
      </c>
      <c r="BK47" s="71"/>
      <c r="BL47" s="71"/>
    </row>
    <row r="48" spans="1:64" x14ac:dyDescent="0.25">
      <c r="A48" s="70">
        <v>2977637</v>
      </c>
      <c r="B48" s="71" t="s">
        <v>245</v>
      </c>
      <c r="C48" s="71">
        <v>25</v>
      </c>
      <c r="D48" s="72" t="s">
        <v>100</v>
      </c>
      <c r="E48" s="73" t="s">
        <v>97</v>
      </c>
      <c r="F48" s="74">
        <f t="shared" si="2"/>
        <v>46066</v>
      </c>
      <c r="G48" s="73" t="s">
        <v>98</v>
      </c>
      <c r="H48" s="73" t="s">
        <v>292</v>
      </c>
      <c r="I48" s="71" t="s">
        <v>292</v>
      </c>
      <c r="J48" s="71" t="s">
        <v>261</v>
      </c>
      <c r="M48" s="70" t="s">
        <v>292</v>
      </c>
      <c r="N48" s="71" t="s">
        <v>287</v>
      </c>
      <c r="O48" s="71" t="str">
        <f>VLOOKUP(A48,Hoja4!$A$2:$B$247,2,FALSE)</f>
        <v>VIVIANA MARCELA AGUDELO GARCÍA  </v>
      </c>
      <c r="Q48" s="73" t="s">
        <v>293</v>
      </c>
      <c r="R48" s="71" t="s">
        <v>294</v>
      </c>
      <c r="S48" s="75" t="s">
        <v>200</v>
      </c>
      <c r="T48" s="75" t="s">
        <v>286</v>
      </c>
      <c r="U48" s="75" t="s">
        <v>209</v>
      </c>
      <c r="V48" s="71" t="s">
        <v>236</v>
      </c>
      <c r="W48" s="75" t="s">
        <v>198</v>
      </c>
      <c r="X48" s="71" t="s">
        <v>266</v>
      </c>
      <c r="Y48" s="75" t="s">
        <v>204</v>
      </c>
      <c r="Z48" s="71" t="s">
        <v>275</v>
      </c>
      <c r="AA48" s="71" t="s">
        <v>242</v>
      </c>
      <c r="AB48" s="71" t="s">
        <v>243</v>
      </c>
      <c r="AC48" s="75" t="s">
        <v>202</v>
      </c>
      <c r="AD48" s="71" t="s">
        <v>216</v>
      </c>
      <c r="AE48" s="71" t="s">
        <v>206</v>
      </c>
      <c r="AF48" s="71" t="s">
        <v>213</v>
      </c>
      <c r="AG48" s="71" t="s">
        <v>196</v>
      </c>
      <c r="AH48" s="76" t="s">
        <v>219</v>
      </c>
      <c r="AK48" s="71"/>
      <c r="AL48" s="75" t="s">
        <v>218</v>
      </c>
      <c r="AM48" s="71"/>
      <c r="AN48" s="71"/>
      <c r="AO48" s="71" t="s">
        <v>208</v>
      </c>
      <c r="AP48" s="71" t="s">
        <v>239</v>
      </c>
      <c r="AQ48" s="71"/>
      <c r="AS48" s="71" t="s">
        <v>254</v>
      </c>
      <c r="AT48" s="75" t="s">
        <v>255</v>
      </c>
      <c r="AV48" s="75" t="s">
        <v>218</v>
      </c>
      <c r="AX48" s="75" t="str">
        <f t="shared" si="3"/>
        <v/>
      </c>
      <c r="BK48" s="71"/>
      <c r="BL48" s="71"/>
    </row>
    <row r="49" spans="1:64" x14ac:dyDescent="0.25">
      <c r="A49" s="70">
        <v>2977740</v>
      </c>
      <c r="B49" s="71" t="s">
        <v>245</v>
      </c>
      <c r="C49" s="71">
        <v>33</v>
      </c>
      <c r="D49" s="72" t="s">
        <v>101</v>
      </c>
      <c r="E49" s="73" t="s">
        <v>97</v>
      </c>
      <c r="F49" s="74">
        <f t="shared" si="2"/>
        <v>46066</v>
      </c>
      <c r="G49" s="73" t="s">
        <v>98</v>
      </c>
      <c r="H49" s="73" t="s">
        <v>295</v>
      </c>
      <c r="I49" s="71" t="s">
        <v>295</v>
      </c>
      <c r="J49" s="71" t="s">
        <v>221</v>
      </c>
      <c r="M49" s="70" t="s">
        <v>296</v>
      </c>
      <c r="N49" s="71" t="s">
        <v>287</v>
      </c>
      <c r="O49" s="71" t="str">
        <f>VLOOKUP(A49,Hoja4!$A$2:$B$247,2,FALSE)</f>
        <v>JUAN CAMILO BOHORQUEZ RODRIGUEZ              </v>
      </c>
      <c r="Q49" s="73" t="s">
        <v>297</v>
      </c>
      <c r="R49" s="71" t="s">
        <v>294</v>
      </c>
      <c r="S49" s="75" t="s">
        <v>209</v>
      </c>
      <c r="T49" s="75" t="s">
        <v>236</v>
      </c>
      <c r="U49" s="75" t="s">
        <v>200</v>
      </c>
      <c r="V49" s="71" t="s">
        <v>220</v>
      </c>
      <c r="W49" s="75" t="s">
        <v>202</v>
      </c>
      <c r="X49" s="71" t="s">
        <v>250</v>
      </c>
      <c r="Y49" s="75" t="s">
        <v>204</v>
      </c>
      <c r="Z49" s="71" t="s">
        <v>217</v>
      </c>
      <c r="AA49" s="71" t="s">
        <v>196</v>
      </c>
      <c r="AB49" s="71" t="s">
        <v>267</v>
      </c>
      <c r="AC49" s="75" t="s">
        <v>198</v>
      </c>
      <c r="AD49" s="71" t="s">
        <v>199</v>
      </c>
      <c r="AE49" s="71" t="s">
        <v>254</v>
      </c>
      <c r="AF49" s="71" t="s">
        <v>255</v>
      </c>
      <c r="AH49" s="76"/>
      <c r="AK49" s="71" t="s">
        <v>206</v>
      </c>
      <c r="AL49" s="75" t="s">
        <v>207</v>
      </c>
      <c r="AM49" s="71"/>
      <c r="AN49" s="71"/>
      <c r="AO49" s="71" t="s">
        <v>242</v>
      </c>
      <c r="AP49" s="71" t="s">
        <v>243</v>
      </c>
      <c r="AQ49" s="71"/>
      <c r="AS49" s="71" t="s">
        <v>208</v>
      </c>
      <c r="AT49" s="75" t="s">
        <v>278</v>
      </c>
      <c r="AV49" s="75" t="s">
        <v>218</v>
      </c>
      <c r="AX49" s="75" t="str">
        <f t="shared" si="3"/>
        <v/>
      </c>
      <c r="BK49" s="71"/>
      <c r="BL49" s="71"/>
    </row>
    <row r="50" spans="1:64" x14ac:dyDescent="0.25">
      <c r="A50" s="70">
        <v>2977741</v>
      </c>
      <c r="B50" s="71" t="s">
        <v>245</v>
      </c>
      <c r="C50" s="71">
        <v>31</v>
      </c>
      <c r="D50" s="72" t="s">
        <v>101</v>
      </c>
      <c r="E50" s="73" t="s">
        <v>97</v>
      </c>
      <c r="F50" s="74">
        <f t="shared" si="2"/>
        <v>46066</v>
      </c>
      <c r="G50" s="73" t="s">
        <v>98</v>
      </c>
      <c r="H50" s="73" t="s">
        <v>295</v>
      </c>
      <c r="I50" s="71" t="s">
        <v>295</v>
      </c>
      <c r="J50" s="71" t="s">
        <v>221</v>
      </c>
      <c r="M50" s="70" t="s">
        <v>296</v>
      </c>
      <c r="N50" s="71" t="s">
        <v>287</v>
      </c>
      <c r="O50" s="71" t="str">
        <f>VLOOKUP(A50,Hoja4!$A$2:$B$247,2,FALSE)</f>
        <v>JUAN CAMILO BOHORQUEZ RODRIGUEZ              </v>
      </c>
      <c r="Q50" s="73" t="s">
        <v>297</v>
      </c>
      <c r="R50" s="71" t="s">
        <v>294</v>
      </c>
      <c r="S50" s="75" t="s">
        <v>209</v>
      </c>
      <c r="T50" s="75" t="s">
        <v>251</v>
      </c>
      <c r="U50" s="75" t="s">
        <v>200</v>
      </c>
      <c r="V50" s="71" t="s">
        <v>201</v>
      </c>
      <c r="W50" s="75" t="s">
        <v>204</v>
      </c>
      <c r="X50" s="71" t="s">
        <v>275</v>
      </c>
      <c r="Y50" s="75" t="s">
        <v>208</v>
      </c>
      <c r="Z50" s="71" t="s">
        <v>298</v>
      </c>
      <c r="AA50" s="71" t="s">
        <v>202</v>
      </c>
      <c r="AB50" s="71" t="s">
        <v>250</v>
      </c>
      <c r="AC50" s="75" t="s">
        <v>196</v>
      </c>
      <c r="AD50" s="71" t="s">
        <v>267</v>
      </c>
      <c r="AE50" s="71" t="s">
        <v>198</v>
      </c>
      <c r="AF50" s="71" t="s">
        <v>199</v>
      </c>
      <c r="AG50" s="71" t="s">
        <v>254</v>
      </c>
      <c r="AH50" s="76" t="s">
        <v>276</v>
      </c>
      <c r="AK50" s="71"/>
      <c r="AL50" s="75" t="s">
        <v>218</v>
      </c>
      <c r="AM50" s="71"/>
      <c r="AN50" s="71"/>
      <c r="AO50" s="71" t="s">
        <v>206</v>
      </c>
      <c r="AP50" s="71" t="s">
        <v>227</v>
      </c>
      <c r="AQ50" s="71"/>
      <c r="AS50" s="71"/>
      <c r="AT50" s="75" t="s">
        <v>218</v>
      </c>
      <c r="AV50" s="75" t="s">
        <v>218</v>
      </c>
      <c r="AW50" s="75" t="s">
        <v>242</v>
      </c>
      <c r="AX50" s="75" t="str">
        <f t="shared" si="3"/>
        <v>LAURA SOFIA PAEZ GALLO</v>
      </c>
      <c r="BK50" s="71"/>
      <c r="BL50" s="71"/>
    </row>
    <row r="51" spans="1:64" x14ac:dyDescent="0.25">
      <c r="A51" s="70">
        <v>2977742</v>
      </c>
      <c r="B51" s="71" t="s">
        <v>245</v>
      </c>
      <c r="C51" s="71">
        <v>39</v>
      </c>
      <c r="D51" s="72" t="s">
        <v>101</v>
      </c>
      <c r="E51" s="73" t="s">
        <v>97</v>
      </c>
      <c r="F51" s="74">
        <f t="shared" si="2"/>
        <v>46066</v>
      </c>
      <c r="G51" s="73" t="s">
        <v>98</v>
      </c>
      <c r="H51" s="73" t="s">
        <v>295</v>
      </c>
      <c r="I51" s="71" t="s">
        <v>295</v>
      </c>
      <c r="J51" s="71" t="s">
        <v>221</v>
      </c>
      <c r="M51" s="70" t="s">
        <v>296</v>
      </c>
      <c r="N51" s="71" t="s">
        <v>287</v>
      </c>
      <c r="O51" s="71" t="str">
        <f>VLOOKUP(A51,Hoja4!$A$2:$B$247,2,FALSE)</f>
        <v>JUAN CAMILO BOHORQUEZ RODRIGUEZ              </v>
      </c>
      <c r="Q51" s="73" t="s">
        <v>297</v>
      </c>
      <c r="R51" s="71" t="s">
        <v>294</v>
      </c>
      <c r="S51" s="75" t="s">
        <v>209</v>
      </c>
      <c r="T51" s="75" t="s">
        <v>251</v>
      </c>
      <c r="U51" s="75" t="s">
        <v>200</v>
      </c>
      <c r="V51" s="71" t="s">
        <v>220</v>
      </c>
      <c r="W51" s="75" t="s">
        <v>204</v>
      </c>
      <c r="X51" s="71" t="s">
        <v>275</v>
      </c>
      <c r="Y51" s="75" t="s">
        <v>208</v>
      </c>
      <c r="Z51" s="71" t="s">
        <v>239</v>
      </c>
      <c r="AA51" s="71" t="s">
        <v>202</v>
      </c>
      <c r="AB51" s="71" t="s">
        <v>256</v>
      </c>
      <c r="AC51" s="75"/>
      <c r="AE51" s="71" t="s">
        <v>242</v>
      </c>
      <c r="AF51" s="71" t="s">
        <v>243</v>
      </c>
      <c r="AG51" s="71" t="s">
        <v>198</v>
      </c>
      <c r="AH51" s="76" t="s">
        <v>299</v>
      </c>
      <c r="AK51" s="71" t="s">
        <v>196</v>
      </c>
      <c r="AL51" s="75" t="s">
        <v>219</v>
      </c>
      <c r="AM51" s="71"/>
      <c r="AN51" s="71"/>
      <c r="AO51" s="71"/>
      <c r="AP51" s="71"/>
      <c r="AQ51" s="71"/>
      <c r="AS51" s="71"/>
      <c r="AT51" s="75" t="s">
        <v>218</v>
      </c>
      <c r="AV51" s="75" t="s">
        <v>218</v>
      </c>
      <c r="AW51" s="75" t="s">
        <v>206</v>
      </c>
      <c r="AX51" s="75" t="str">
        <f t="shared" si="3"/>
        <v>JORGE IVAN PEREZ GAITAN</v>
      </c>
      <c r="BA51" s="75" t="s">
        <v>254</v>
      </c>
      <c r="BB51" s="75" t="str">
        <f>VLOOKUP(A51,_p8_2025,2,FALSE)</f>
        <v>CINDY YOHANA BOHORQUEZ GARZON</v>
      </c>
      <c r="BK51" s="71"/>
      <c r="BL51" s="71"/>
    </row>
    <row r="52" spans="1:64" x14ac:dyDescent="0.25">
      <c r="A52" s="70">
        <v>2977743</v>
      </c>
      <c r="B52" s="71" t="s">
        <v>245</v>
      </c>
      <c r="C52" s="71">
        <v>33</v>
      </c>
      <c r="D52" s="72" t="s">
        <v>101</v>
      </c>
      <c r="E52" s="73" t="s">
        <v>97</v>
      </c>
      <c r="F52" s="74">
        <f t="shared" si="2"/>
        <v>46066</v>
      </c>
      <c r="G52" s="73" t="s">
        <v>98</v>
      </c>
      <c r="H52" s="73" t="s">
        <v>295</v>
      </c>
      <c r="I52" s="71" t="s">
        <v>295</v>
      </c>
      <c r="J52" s="71" t="s">
        <v>221</v>
      </c>
      <c r="M52" s="70" t="s">
        <v>296</v>
      </c>
      <c r="N52" s="71" t="s">
        <v>300</v>
      </c>
      <c r="O52" s="71" t="str">
        <f>VLOOKUP(A52,Hoja4!$A$2:$B$247,2,FALSE)</f>
        <v>JUAN CAMILO BOHORQUEZ RODRIGUEZ              </v>
      </c>
      <c r="P52" s="71" t="s">
        <v>233</v>
      </c>
      <c r="Q52" s="73" t="s">
        <v>297</v>
      </c>
      <c r="R52" s="71" t="s">
        <v>294</v>
      </c>
      <c r="S52" s="75" t="s">
        <v>209</v>
      </c>
      <c r="T52" s="75" t="s">
        <v>251</v>
      </c>
      <c r="U52" s="75" t="s">
        <v>254</v>
      </c>
      <c r="V52" s="71" t="s">
        <v>276</v>
      </c>
      <c r="W52" s="75" t="s">
        <v>204</v>
      </c>
      <c r="X52" s="71" t="s">
        <v>258</v>
      </c>
      <c r="Y52" s="75" t="s">
        <v>208</v>
      </c>
      <c r="Z52" s="71" t="s">
        <v>239</v>
      </c>
      <c r="AA52" s="71" t="s">
        <v>202</v>
      </c>
      <c r="AB52" s="71" t="s">
        <v>250</v>
      </c>
      <c r="AC52" s="75"/>
      <c r="AE52" s="71" t="s">
        <v>242</v>
      </c>
      <c r="AF52" s="71" t="s">
        <v>243</v>
      </c>
      <c r="AG52" s="71" t="s">
        <v>200</v>
      </c>
      <c r="AH52" s="76" t="s">
        <v>220</v>
      </c>
      <c r="AK52" s="71" t="s">
        <v>196</v>
      </c>
      <c r="AL52" s="75" t="s">
        <v>197</v>
      </c>
      <c r="AM52" s="71"/>
      <c r="AN52" s="71"/>
      <c r="AO52" s="71"/>
      <c r="AP52" s="71"/>
      <c r="AQ52" s="71"/>
      <c r="AS52" s="71"/>
      <c r="AT52" s="75" t="s">
        <v>218</v>
      </c>
      <c r="AV52" s="75" t="s">
        <v>218</v>
      </c>
      <c r="AW52" s="75" t="s">
        <v>198</v>
      </c>
      <c r="AX52" s="75" t="str">
        <f t="shared" si="3"/>
        <v>SONIA PATRICIA CASTAÑEDA CAYCEDO</v>
      </c>
      <c r="BA52" s="75" t="s">
        <v>206</v>
      </c>
      <c r="BB52" s="75" t="str">
        <f>VLOOKUP(A52,_p8_2025,2,FALSE)</f>
        <v>JORGE IVAN PEREZ GAITAN</v>
      </c>
      <c r="BK52" s="71"/>
      <c r="BL52" s="71"/>
    </row>
    <row r="53" spans="1:64" x14ac:dyDescent="0.25">
      <c r="A53" s="70">
        <v>2977744</v>
      </c>
      <c r="B53" s="71" t="s">
        <v>245</v>
      </c>
      <c r="C53" s="71">
        <v>36</v>
      </c>
      <c r="D53" s="72" t="s">
        <v>101</v>
      </c>
      <c r="E53" s="73" t="s">
        <v>97</v>
      </c>
      <c r="F53" s="74">
        <f t="shared" si="2"/>
        <v>46066</v>
      </c>
      <c r="G53" s="73" t="s">
        <v>98</v>
      </c>
      <c r="H53" s="73" t="s">
        <v>295</v>
      </c>
      <c r="I53" s="71" t="s">
        <v>295</v>
      </c>
      <c r="J53" s="71" t="s">
        <v>221</v>
      </c>
      <c r="M53" s="70" t="s">
        <v>296</v>
      </c>
      <c r="N53" s="71" t="s">
        <v>301</v>
      </c>
      <c r="O53" s="71" t="str">
        <f>VLOOKUP(A53,Hoja4!$A$2:$B$247,2,FALSE)</f>
        <v>JUAN CAMILO BOHORQUEZ RODRIGUEZ              </v>
      </c>
      <c r="P53" s="71" t="s">
        <v>233</v>
      </c>
      <c r="Q53" s="73" t="s">
        <v>297</v>
      </c>
      <c r="R53" s="71" t="s">
        <v>294</v>
      </c>
      <c r="S53" s="75" t="s">
        <v>209</v>
      </c>
      <c r="T53" s="75" t="s">
        <v>226</v>
      </c>
      <c r="U53" s="75" t="s">
        <v>254</v>
      </c>
      <c r="V53" s="71" t="s">
        <v>255</v>
      </c>
      <c r="W53" s="75" t="s">
        <v>204</v>
      </c>
      <c r="X53" s="71" t="s">
        <v>265</v>
      </c>
      <c r="Y53" s="75" t="s">
        <v>208</v>
      </c>
      <c r="Z53" s="71" t="s">
        <v>239</v>
      </c>
      <c r="AA53" s="71" t="s">
        <v>202</v>
      </c>
      <c r="AB53" s="71" t="s">
        <v>256</v>
      </c>
      <c r="AC53" s="75"/>
      <c r="AE53" s="71" t="s">
        <v>242</v>
      </c>
      <c r="AF53" s="71" t="s">
        <v>243</v>
      </c>
      <c r="AG53" s="71" t="s">
        <v>200</v>
      </c>
      <c r="AH53" s="76" t="s">
        <v>214</v>
      </c>
      <c r="AK53" s="71" t="s">
        <v>196</v>
      </c>
      <c r="AL53" s="75" t="s">
        <v>219</v>
      </c>
      <c r="AM53" s="71"/>
      <c r="AN53" s="71"/>
      <c r="AO53" s="71"/>
      <c r="AP53" s="71"/>
      <c r="AQ53" s="71"/>
      <c r="AS53" s="71"/>
      <c r="AT53" s="75" t="s">
        <v>218</v>
      </c>
      <c r="AV53" s="75" t="s">
        <v>218</v>
      </c>
      <c r="AW53" s="75" t="s">
        <v>198</v>
      </c>
      <c r="AX53" s="75" t="str">
        <f t="shared" si="3"/>
        <v>SONIA PATRICIA CASTAÑEDA CAYCEDO</v>
      </c>
      <c r="BA53" s="75" t="s">
        <v>206</v>
      </c>
      <c r="BB53" s="75" t="str">
        <f>VLOOKUP(A53,_p8_2025,2,FALSE)</f>
        <v>DEISY JULIETH GARCIA CASTAÑEDA</v>
      </c>
      <c r="BK53" s="71"/>
      <c r="BL53" s="71"/>
    </row>
    <row r="54" spans="1:64" x14ac:dyDescent="0.25">
      <c r="A54" s="70">
        <v>2977745</v>
      </c>
      <c r="B54" s="71" t="s">
        <v>245</v>
      </c>
      <c r="C54" s="71">
        <v>36</v>
      </c>
      <c r="D54" s="72" t="s">
        <v>101</v>
      </c>
      <c r="E54" s="73" t="s">
        <v>97</v>
      </c>
      <c r="F54" s="74">
        <f t="shared" si="2"/>
        <v>46066</v>
      </c>
      <c r="G54" s="73" t="s">
        <v>98</v>
      </c>
      <c r="H54" s="73" t="s">
        <v>295</v>
      </c>
      <c r="I54" s="71" t="s">
        <v>295</v>
      </c>
      <c r="J54" s="71" t="s">
        <v>221</v>
      </c>
      <c r="M54" s="70" t="s">
        <v>296</v>
      </c>
      <c r="N54" s="71" t="s">
        <v>301</v>
      </c>
      <c r="O54" s="71" t="str">
        <f>VLOOKUP(A54,Hoja4!$A$2:$B$247,2,FALSE)</f>
        <v>JUAN CAMILO BOHORQUEZ RODRIGUEZ              </v>
      </c>
      <c r="P54" s="71" t="s">
        <v>233</v>
      </c>
      <c r="Q54" s="73" t="s">
        <v>297</v>
      </c>
      <c r="R54" s="71" t="s">
        <v>294</v>
      </c>
      <c r="S54" s="75" t="s">
        <v>209</v>
      </c>
      <c r="T54" s="75" t="s">
        <v>236</v>
      </c>
      <c r="U54" s="75" t="s">
        <v>254</v>
      </c>
      <c r="V54" s="71" t="s">
        <v>255</v>
      </c>
      <c r="W54" s="75" t="s">
        <v>204</v>
      </c>
      <c r="X54" s="71" t="s">
        <v>221</v>
      </c>
      <c r="Y54" s="75" t="s">
        <v>198</v>
      </c>
      <c r="Z54" s="71" t="s">
        <v>199</v>
      </c>
      <c r="AA54" s="71" t="s">
        <v>202</v>
      </c>
      <c r="AB54" s="71" t="s">
        <v>216</v>
      </c>
      <c r="AC54" s="75" t="s">
        <v>196</v>
      </c>
      <c r="AD54" s="71" t="s">
        <v>267</v>
      </c>
      <c r="AE54" s="71" t="s">
        <v>200</v>
      </c>
      <c r="AF54" s="71" t="s">
        <v>201</v>
      </c>
      <c r="AG54" s="71" t="s">
        <v>242</v>
      </c>
      <c r="AH54" s="76" t="s">
        <v>243</v>
      </c>
      <c r="AK54" s="71" t="s">
        <v>206</v>
      </c>
      <c r="AL54" s="75" t="s">
        <v>207</v>
      </c>
      <c r="AM54" s="71"/>
      <c r="AN54" s="71"/>
      <c r="AO54" s="71" t="s">
        <v>208</v>
      </c>
      <c r="AP54" s="71" t="s">
        <v>278</v>
      </c>
      <c r="AQ54" s="71"/>
      <c r="AS54" s="71"/>
      <c r="AT54" s="75" t="s">
        <v>218</v>
      </c>
      <c r="AV54" s="75" t="s">
        <v>218</v>
      </c>
      <c r="AX54" s="75" t="str">
        <f t="shared" si="3"/>
        <v/>
      </c>
      <c r="BK54" s="71"/>
      <c r="BL54" s="71"/>
    </row>
    <row r="55" spans="1:64" x14ac:dyDescent="0.25">
      <c r="A55" s="70">
        <v>2977746</v>
      </c>
      <c r="B55" s="71" t="s">
        <v>245</v>
      </c>
      <c r="C55" s="71">
        <v>42</v>
      </c>
      <c r="D55" s="72" t="s">
        <v>101</v>
      </c>
      <c r="E55" s="73" t="s">
        <v>97</v>
      </c>
      <c r="F55" s="74">
        <f t="shared" si="2"/>
        <v>46066</v>
      </c>
      <c r="G55" s="73" t="s">
        <v>98</v>
      </c>
      <c r="H55" s="73" t="s">
        <v>302</v>
      </c>
      <c r="I55" s="71" t="s">
        <v>302</v>
      </c>
      <c r="J55" s="71" t="s">
        <v>221</v>
      </c>
      <c r="M55" s="70" t="s">
        <v>302</v>
      </c>
      <c r="N55" s="71" t="s">
        <v>301</v>
      </c>
      <c r="O55" s="71" t="str">
        <f>VLOOKUP(A55,Hoja4!$A$2:$B$247,2,FALSE)</f>
        <v>JOSE ALFONSO SOTO SILVERA   </v>
      </c>
      <c r="P55" s="71" t="s">
        <v>233</v>
      </c>
      <c r="Q55" s="73" t="s">
        <v>297</v>
      </c>
      <c r="R55" s="71" t="s">
        <v>294</v>
      </c>
      <c r="S55" s="75" t="s">
        <v>202</v>
      </c>
      <c r="T55" s="75" t="s">
        <v>250</v>
      </c>
      <c r="U55" s="75" t="s">
        <v>209</v>
      </c>
      <c r="V55" s="71" t="s">
        <v>251</v>
      </c>
      <c r="W55" s="75" t="s">
        <v>204</v>
      </c>
      <c r="X55" s="71" t="s">
        <v>258</v>
      </c>
      <c r="Y55" s="75" t="s">
        <v>254</v>
      </c>
      <c r="Z55" s="71" t="s">
        <v>288</v>
      </c>
      <c r="AA55" s="71" t="s">
        <v>196</v>
      </c>
      <c r="AB55" s="71" t="s">
        <v>267</v>
      </c>
      <c r="AC55" s="75" t="s">
        <v>198</v>
      </c>
      <c r="AD55" s="71" t="s">
        <v>266</v>
      </c>
      <c r="AE55" s="71" t="s">
        <v>200</v>
      </c>
      <c r="AF55" s="71" t="s">
        <v>201</v>
      </c>
      <c r="AH55" s="76"/>
      <c r="AK55" s="71" t="s">
        <v>206</v>
      </c>
      <c r="AL55" s="75" t="s">
        <v>227</v>
      </c>
      <c r="AM55" s="71"/>
      <c r="AN55" s="71"/>
      <c r="AO55" s="71" t="s">
        <v>242</v>
      </c>
      <c r="AP55" s="71" t="s">
        <v>243</v>
      </c>
      <c r="AQ55" s="71"/>
      <c r="AS55" s="71" t="s">
        <v>208</v>
      </c>
      <c r="AT55" s="75" t="s">
        <v>278</v>
      </c>
      <c r="AV55" s="75" t="s">
        <v>218</v>
      </c>
      <c r="AX55" s="75" t="str">
        <f t="shared" si="3"/>
        <v/>
      </c>
      <c r="BK55" s="71"/>
      <c r="BL55" s="71"/>
    </row>
    <row r="56" spans="1:64" x14ac:dyDescent="0.25">
      <c r="A56" s="70">
        <v>2977747</v>
      </c>
      <c r="B56" s="71" t="s">
        <v>245</v>
      </c>
      <c r="C56" s="71">
        <v>40</v>
      </c>
      <c r="D56" s="72" t="s">
        <v>101</v>
      </c>
      <c r="E56" s="73" t="s">
        <v>97</v>
      </c>
      <c r="F56" s="74">
        <f t="shared" si="2"/>
        <v>46066</v>
      </c>
      <c r="G56" s="73" t="s">
        <v>98</v>
      </c>
      <c r="H56" s="73" t="s">
        <v>302</v>
      </c>
      <c r="I56" s="71" t="s">
        <v>302</v>
      </c>
      <c r="J56" s="71" t="s">
        <v>221</v>
      </c>
      <c r="M56" s="70" t="s">
        <v>302</v>
      </c>
      <c r="N56" s="71" t="s">
        <v>300</v>
      </c>
      <c r="O56" s="71" t="str">
        <f>VLOOKUP(A56,Hoja4!$A$2:$B$247,2,FALSE)</f>
        <v>JOSE ALFONSO SOTO SILVERA   </v>
      </c>
      <c r="P56" s="71" t="s">
        <v>233</v>
      </c>
      <c r="Q56" s="73" t="s">
        <v>297</v>
      </c>
      <c r="R56" s="71" t="s">
        <v>294</v>
      </c>
      <c r="S56" s="75" t="s">
        <v>202</v>
      </c>
      <c r="T56" s="75" t="s">
        <v>256</v>
      </c>
      <c r="U56" s="75" t="s">
        <v>209</v>
      </c>
      <c r="V56" s="71" t="s">
        <v>236</v>
      </c>
      <c r="W56" s="75" t="s">
        <v>200</v>
      </c>
      <c r="X56" s="71" t="s">
        <v>201</v>
      </c>
      <c r="Y56" s="75" t="s">
        <v>204</v>
      </c>
      <c r="Z56" s="71" t="s">
        <v>275</v>
      </c>
      <c r="AA56" s="71" t="s">
        <v>254</v>
      </c>
      <c r="AB56" s="71" t="s">
        <v>276</v>
      </c>
      <c r="AC56" s="75"/>
      <c r="AE56" s="71" t="s">
        <v>242</v>
      </c>
      <c r="AF56" s="71" t="s">
        <v>243</v>
      </c>
      <c r="AG56" s="71" t="s">
        <v>198</v>
      </c>
      <c r="AH56" s="76" t="s">
        <v>253</v>
      </c>
      <c r="AK56" s="71" t="s">
        <v>208</v>
      </c>
      <c r="AL56" s="75" t="s">
        <v>303</v>
      </c>
      <c r="AM56" s="71"/>
      <c r="AN56" s="71"/>
      <c r="AO56" s="71" t="s">
        <v>206</v>
      </c>
      <c r="AP56" s="71" t="s">
        <v>207</v>
      </c>
      <c r="AQ56" s="71"/>
      <c r="AS56" s="71"/>
      <c r="AT56" s="75" t="s">
        <v>218</v>
      </c>
      <c r="AV56" s="75" t="s">
        <v>218</v>
      </c>
      <c r="AX56" s="75" t="str">
        <f t="shared" si="3"/>
        <v/>
      </c>
      <c r="BA56" s="75" t="s">
        <v>196</v>
      </c>
      <c r="BB56" s="75" t="str">
        <f>VLOOKUP(A56,_p8_2025,2,FALSE)</f>
        <v>CESAR AUGUSTO BERMEO</v>
      </c>
      <c r="BK56" s="71"/>
      <c r="BL56" s="71"/>
    </row>
    <row r="57" spans="1:64" x14ac:dyDescent="0.25">
      <c r="A57" s="70">
        <v>2977748</v>
      </c>
      <c r="B57" s="71" t="s">
        <v>245</v>
      </c>
      <c r="C57" s="71">
        <v>41</v>
      </c>
      <c r="D57" s="72" t="s">
        <v>101</v>
      </c>
      <c r="E57" s="73" t="s">
        <v>97</v>
      </c>
      <c r="F57" s="74">
        <f t="shared" si="2"/>
        <v>46066</v>
      </c>
      <c r="G57" s="73" t="s">
        <v>98</v>
      </c>
      <c r="H57" s="73" t="s">
        <v>302</v>
      </c>
      <c r="I57" s="71" t="s">
        <v>302</v>
      </c>
      <c r="J57" s="71" t="s">
        <v>221</v>
      </c>
      <c r="M57" s="70" t="s">
        <v>302</v>
      </c>
      <c r="N57" s="71" t="s">
        <v>304</v>
      </c>
      <c r="O57" s="71" t="str">
        <f>VLOOKUP(A57,Hoja4!$A$2:$B$247,2,FALSE)</f>
        <v>JOSE ALFONSO SOTO SILVERA   </v>
      </c>
      <c r="Q57" s="73" t="s">
        <v>297</v>
      </c>
      <c r="R57" s="71" t="s">
        <v>294</v>
      </c>
      <c r="S57" s="75" t="s">
        <v>202</v>
      </c>
      <c r="T57" s="75" t="s">
        <v>216</v>
      </c>
      <c r="U57" s="75" t="s">
        <v>209</v>
      </c>
      <c r="V57" s="71" t="s">
        <v>251</v>
      </c>
      <c r="W57" s="75" t="s">
        <v>198</v>
      </c>
      <c r="X57" s="71" t="s">
        <v>305</v>
      </c>
      <c r="Y57" s="75" t="s">
        <v>204</v>
      </c>
      <c r="Z57" s="71" t="s">
        <v>258</v>
      </c>
      <c r="AA57" s="71" t="s">
        <v>254</v>
      </c>
      <c r="AB57" s="71" t="s">
        <v>288</v>
      </c>
      <c r="AC57" s="75"/>
      <c r="AE57" s="71" t="s">
        <v>242</v>
      </c>
      <c r="AF57" s="71" t="s">
        <v>243</v>
      </c>
      <c r="AG57" s="71" t="s">
        <v>196</v>
      </c>
      <c r="AH57" s="76" t="s">
        <v>197</v>
      </c>
      <c r="AK57" s="71" t="s">
        <v>208</v>
      </c>
      <c r="AL57" s="75" t="s">
        <v>303</v>
      </c>
      <c r="AM57" s="71"/>
      <c r="AN57" s="71"/>
      <c r="AO57" s="71" t="s">
        <v>206</v>
      </c>
      <c r="AP57" s="71" t="s">
        <v>213</v>
      </c>
      <c r="AQ57" s="71"/>
      <c r="AS57" s="71"/>
      <c r="AT57" s="75" t="s">
        <v>218</v>
      </c>
      <c r="AV57" s="75" t="s">
        <v>218</v>
      </c>
      <c r="AW57" s="75" t="s">
        <v>200</v>
      </c>
      <c r="AX57" s="75" t="str">
        <f t="shared" si="3"/>
        <v>JULIANA HERNANDEZ BARRERA</v>
      </c>
      <c r="BK57" s="71"/>
      <c r="BL57" s="71"/>
    </row>
    <row r="58" spans="1:64" x14ac:dyDescent="0.25">
      <c r="A58" s="70">
        <v>2977749</v>
      </c>
      <c r="B58" s="71" t="s">
        <v>245</v>
      </c>
      <c r="C58" s="71">
        <v>40</v>
      </c>
      <c r="D58" s="72" t="s">
        <v>101</v>
      </c>
      <c r="E58" s="73" t="s">
        <v>97</v>
      </c>
      <c r="F58" s="74">
        <f t="shared" si="2"/>
        <v>46066</v>
      </c>
      <c r="G58" s="73" t="s">
        <v>98</v>
      </c>
      <c r="H58" s="73" t="s">
        <v>302</v>
      </c>
      <c r="I58" s="71" t="s">
        <v>302</v>
      </c>
      <c r="J58" s="71" t="s">
        <v>221</v>
      </c>
      <c r="M58" s="70" t="s">
        <v>302</v>
      </c>
      <c r="N58" s="71" t="s">
        <v>304</v>
      </c>
      <c r="O58" s="71" t="str">
        <f>VLOOKUP(A58,Hoja4!$A$2:$B$247,2,FALSE)</f>
        <v>JOSE ALFONSO SOTO SILVERA   </v>
      </c>
      <c r="Q58" s="73" t="s">
        <v>297</v>
      </c>
      <c r="R58" s="71" t="s">
        <v>294</v>
      </c>
      <c r="S58" s="75" t="s">
        <v>202</v>
      </c>
      <c r="T58" s="75" t="s">
        <v>250</v>
      </c>
      <c r="U58" s="75" t="s">
        <v>209</v>
      </c>
      <c r="V58" s="71" t="s">
        <v>236</v>
      </c>
      <c r="W58" s="75" t="s">
        <v>198</v>
      </c>
      <c r="X58" s="71" t="s">
        <v>264</v>
      </c>
      <c r="Y58" s="75" t="s">
        <v>204</v>
      </c>
      <c r="Z58" s="71" t="s">
        <v>269</v>
      </c>
      <c r="AA58" s="71" t="s">
        <v>254</v>
      </c>
      <c r="AB58" s="71" t="s">
        <v>288</v>
      </c>
      <c r="AC58" s="75" t="s">
        <v>196</v>
      </c>
      <c r="AD58" s="71" t="s">
        <v>267</v>
      </c>
      <c r="AE58" s="71" t="s">
        <v>200</v>
      </c>
      <c r="AF58" s="71" t="s">
        <v>201</v>
      </c>
      <c r="AH58" s="76"/>
      <c r="AK58" s="71" t="s">
        <v>206</v>
      </c>
      <c r="AL58" s="75" t="s">
        <v>207</v>
      </c>
      <c r="AM58" s="71"/>
      <c r="AN58" s="71"/>
      <c r="AO58" s="71" t="s">
        <v>242</v>
      </c>
      <c r="AP58" s="71" t="s">
        <v>243</v>
      </c>
      <c r="AQ58" s="71"/>
      <c r="AS58" s="71" t="s">
        <v>208</v>
      </c>
      <c r="AT58" s="75" t="s">
        <v>239</v>
      </c>
      <c r="AV58" s="75" t="s">
        <v>218</v>
      </c>
      <c r="AX58" s="75" t="str">
        <f t="shared" si="3"/>
        <v/>
      </c>
      <c r="BK58" s="71"/>
      <c r="BL58" s="71"/>
    </row>
    <row r="59" spans="1:64" x14ac:dyDescent="0.25">
      <c r="A59" s="70">
        <v>2977750</v>
      </c>
      <c r="B59" s="71" t="s">
        <v>245</v>
      </c>
      <c r="C59" s="71">
        <v>42</v>
      </c>
      <c r="D59" s="72" t="s">
        <v>101</v>
      </c>
      <c r="E59" s="73" t="s">
        <v>97</v>
      </c>
      <c r="F59" s="74">
        <f t="shared" si="2"/>
        <v>46066</v>
      </c>
      <c r="G59" s="73" t="s">
        <v>98</v>
      </c>
      <c r="H59" s="73" t="s">
        <v>302</v>
      </c>
      <c r="I59" s="71" t="s">
        <v>302</v>
      </c>
      <c r="J59" s="71" t="s">
        <v>221</v>
      </c>
      <c r="M59" s="70" t="s">
        <v>302</v>
      </c>
      <c r="N59" s="71" t="s">
        <v>192</v>
      </c>
      <c r="O59" s="71" t="str">
        <f>VLOOKUP(A59,Hoja4!$A$2:$B$247,2,FALSE)</f>
        <v>JOSE ALFONSO SOTO SILVERA   </v>
      </c>
      <c r="P59" s="71" t="s">
        <v>192</v>
      </c>
      <c r="Q59" s="73" t="s">
        <v>297</v>
      </c>
      <c r="R59" s="71" t="s">
        <v>294</v>
      </c>
      <c r="S59" s="75" t="s">
        <v>202</v>
      </c>
      <c r="T59" s="75" t="s">
        <v>216</v>
      </c>
      <c r="U59" s="75" t="s">
        <v>209</v>
      </c>
      <c r="V59" s="71" t="s">
        <v>226</v>
      </c>
      <c r="W59" s="75" t="s">
        <v>198</v>
      </c>
      <c r="X59" s="71" t="s">
        <v>299</v>
      </c>
      <c r="Y59" s="75" t="s">
        <v>204</v>
      </c>
      <c r="Z59" s="71" t="s">
        <v>275</v>
      </c>
      <c r="AA59" s="71" t="s">
        <v>254</v>
      </c>
      <c r="AB59" s="71" t="s">
        <v>288</v>
      </c>
      <c r="AC59" s="75" t="s">
        <v>196</v>
      </c>
      <c r="AD59" s="71" t="s">
        <v>267</v>
      </c>
      <c r="AE59" s="71" t="s">
        <v>200</v>
      </c>
      <c r="AF59" s="71" t="s">
        <v>220</v>
      </c>
      <c r="AH59" s="76"/>
      <c r="AK59" s="71" t="s">
        <v>206</v>
      </c>
      <c r="AL59" s="75" t="s">
        <v>227</v>
      </c>
      <c r="AM59" s="71"/>
      <c r="AN59" s="71"/>
      <c r="AO59" s="71" t="s">
        <v>242</v>
      </c>
      <c r="AP59" s="71" t="s">
        <v>243</v>
      </c>
      <c r="AQ59" s="71"/>
      <c r="AS59" s="71" t="s">
        <v>208</v>
      </c>
      <c r="AT59" s="75" t="s">
        <v>235</v>
      </c>
      <c r="AV59" s="75" t="s">
        <v>218</v>
      </c>
      <c r="AX59" s="75" t="str">
        <f t="shared" si="3"/>
        <v/>
      </c>
      <c r="BK59" s="71"/>
      <c r="BL59" s="71"/>
    </row>
    <row r="60" spans="1:64" x14ac:dyDescent="0.25">
      <c r="A60" s="70">
        <v>2977751</v>
      </c>
      <c r="B60" s="71" t="s">
        <v>245</v>
      </c>
      <c r="C60" s="71">
        <v>32</v>
      </c>
      <c r="D60" s="72" t="s">
        <v>101</v>
      </c>
      <c r="E60" s="73" t="s">
        <v>97</v>
      </c>
      <c r="F60" s="74">
        <f t="shared" si="2"/>
        <v>46066</v>
      </c>
      <c r="G60" s="73" t="s">
        <v>98</v>
      </c>
      <c r="H60" s="73" t="s">
        <v>306</v>
      </c>
      <c r="I60" s="71" t="s">
        <v>306</v>
      </c>
      <c r="J60" s="71" t="s">
        <v>221</v>
      </c>
      <c r="M60" s="70" t="s">
        <v>306</v>
      </c>
      <c r="N60" s="71" t="s">
        <v>307</v>
      </c>
      <c r="O60" s="71" t="str">
        <f>VLOOKUP(A60,Hoja4!$A$2:$B$247,2,FALSE)</f>
        <v>LAURA VIVIANA MONTERO DURAN       </v>
      </c>
      <c r="Q60" s="73" t="s">
        <v>297</v>
      </c>
      <c r="R60" s="71" t="s">
        <v>294</v>
      </c>
      <c r="S60" s="75" t="s">
        <v>202</v>
      </c>
      <c r="T60" s="75" t="s">
        <v>216</v>
      </c>
      <c r="U60" s="75" t="s">
        <v>209</v>
      </c>
      <c r="V60" s="71" t="s">
        <v>226</v>
      </c>
      <c r="W60" s="75" t="s">
        <v>198</v>
      </c>
      <c r="X60" s="71" t="s">
        <v>308</v>
      </c>
      <c r="Y60" s="75" t="s">
        <v>204</v>
      </c>
      <c r="Z60" s="71" t="s">
        <v>269</v>
      </c>
      <c r="AA60" s="71" t="s">
        <v>254</v>
      </c>
      <c r="AB60" s="71" t="s">
        <v>255</v>
      </c>
      <c r="AC60" s="75"/>
      <c r="AE60" s="71" t="s">
        <v>242</v>
      </c>
      <c r="AF60" s="71" t="s">
        <v>243</v>
      </c>
      <c r="AG60" s="71" t="s">
        <v>196</v>
      </c>
      <c r="AH60" s="76" t="s">
        <v>219</v>
      </c>
      <c r="AK60" s="71" t="s">
        <v>206</v>
      </c>
      <c r="AL60" s="75" t="s">
        <v>227</v>
      </c>
      <c r="AM60" s="71"/>
      <c r="AN60" s="71"/>
      <c r="AO60" s="71" t="s">
        <v>208</v>
      </c>
      <c r="AP60" s="71" t="s">
        <v>235</v>
      </c>
      <c r="AQ60" s="71"/>
      <c r="AS60" s="71"/>
      <c r="AT60" s="75" t="s">
        <v>218</v>
      </c>
      <c r="AV60" s="75" t="s">
        <v>218</v>
      </c>
      <c r="AW60" s="75" t="s">
        <v>200</v>
      </c>
      <c r="AX60" s="75" t="str">
        <f t="shared" si="3"/>
        <v>JULIANA HERNANDEZ BARRERA</v>
      </c>
      <c r="BK60" s="71"/>
      <c r="BL60" s="71"/>
    </row>
    <row r="61" spans="1:64" x14ac:dyDescent="0.25">
      <c r="A61" s="70">
        <v>2977752</v>
      </c>
      <c r="B61" s="71" t="s">
        <v>245</v>
      </c>
      <c r="C61" s="71">
        <v>21</v>
      </c>
      <c r="D61" s="72" t="s">
        <v>101</v>
      </c>
      <c r="E61" s="73" t="s">
        <v>97</v>
      </c>
      <c r="F61" s="74">
        <f t="shared" si="2"/>
        <v>46066</v>
      </c>
      <c r="G61" s="73" t="s">
        <v>98</v>
      </c>
      <c r="H61" s="73" t="s">
        <v>306</v>
      </c>
      <c r="I61" s="71" t="s">
        <v>306</v>
      </c>
      <c r="J61" s="71" t="s">
        <v>221</v>
      </c>
      <c r="M61" s="70" t="s">
        <v>306</v>
      </c>
      <c r="N61" s="71" t="s">
        <v>192</v>
      </c>
      <c r="O61" s="71" t="str">
        <f>VLOOKUP(A61,Hoja4!$A$2:$B$247,2,FALSE)</f>
        <v>LAURA VIVIANA MONTERO DURAN       </v>
      </c>
      <c r="P61" s="71" t="s">
        <v>192</v>
      </c>
      <c r="Q61" s="73" t="s">
        <v>297</v>
      </c>
      <c r="R61" s="71" t="s">
        <v>294</v>
      </c>
      <c r="S61" s="75" t="s">
        <v>242</v>
      </c>
      <c r="T61" s="75" t="s">
        <v>257</v>
      </c>
      <c r="U61" s="75" t="s">
        <v>209</v>
      </c>
      <c r="V61" s="71" t="s">
        <v>226</v>
      </c>
      <c r="W61" s="75" t="s">
        <v>198</v>
      </c>
      <c r="X61" s="71" t="s">
        <v>253</v>
      </c>
      <c r="Y61" s="75" t="s">
        <v>204</v>
      </c>
      <c r="Z61" s="71" t="s">
        <v>217</v>
      </c>
      <c r="AA61" s="71" t="s">
        <v>254</v>
      </c>
      <c r="AB61" s="71" t="s">
        <v>276</v>
      </c>
      <c r="AC61" s="75" t="s">
        <v>196</v>
      </c>
      <c r="AD61" s="71" t="s">
        <v>267</v>
      </c>
      <c r="AE61" s="71" t="s">
        <v>200</v>
      </c>
      <c r="AF61" s="71" t="s">
        <v>220</v>
      </c>
      <c r="AG61" s="71" t="s">
        <v>206</v>
      </c>
      <c r="AH61" s="76" t="s">
        <v>207</v>
      </c>
      <c r="AK61" s="71" t="s">
        <v>208</v>
      </c>
      <c r="AL61" s="75" t="s">
        <v>303</v>
      </c>
      <c r="AM61" s="71"/>
      <c r="AN61" s="71"/>
      <c r="AO61" s="71" t="s">
        <v>202</v>
      </c>
      <c r="AP61" s="71" t="s">
        <v>203</v>
      </c>
      <c r="AQ61" s="71"/>
      <c r="AS61" s="71"/>
      <c r="AT61" s="75" t="s">
        <v>218</v>
      </c>
      <c r="AV61" s="75" t="s">
        <v>218</v>
      </c>
      <c r="AX61" s="75" t="str">
        <f t="shared" si="3"/>
        <v/>
      </c>
      <c r="BK61" s="71"/>
      <c r="BL61" s="71"/>
    </row>
    <row r="62" spans="1:64" x14ac:dyDescent="0.25">
      <c r="A62" s="70">
        <v>2977753</v>
      </c>
      <c r="B62" s="71" t="s">
        <v>245</v>
      </c>
      <c r="C62" s="71">
        <v>30</v>
      </c>
      <c r="D62" s="72" t="s">
        <v>101</v>
      </c>
      <c r="E62" s="73" t="s">
        <v>97</v>
      </c>
      <c r="F62" s="74">
        <f t="shared" si="2"/>
        <v>46066</v>
      </c>
      <c r="G62" s="73" t="s">
        <v>98</v>
      </c>
      <c r="H62" s="73" t="s">
        <v>306</v>
      </c>
      <c r="I62" s="71" t="s">
        <v>306</v>
      </c>
      <c r="J62" s="71" t="s">
        <v>221</v>
      </c>
      <c r="M62" s="70" t="s">
        <v>306</v>
      </c>
      <c r="N62" s="71" t="s">
        <v>309</v>
      </c>
      <c r="O62" s="71" t="str">
        <f>VLOOKUP(A62,Hoja4!$A$2:$B$247,2,FALSE)</f>
        <v>LAURA VIVIANA MONTERO DURAN       </v>
      </c>
      <c r="Q62" s="73" t="s">
        <v>297</v>
      </c>
      <c r="R62" s="71" t="s">
        <v>294</v>
      </c>
      <c r="S62" s="75" t="s">
        <v>242</v>
      </c>
      <c r="T62" s="75" t="s">
        <v>257</v>
      </c>
      <c r="U62" s="75" t="s">
        <v>204</v>
      </c>
      <c r="V62" s="71" t="s">
        <v>217</v>
      </c>
      <c r="W62" s="75" t="s">
        <v>209</v>
      </c>
      <c r="X62" s="71" t="s">
        <v>251</v>
      </c>
      <c r="Y62" s="75" t="s">
        <v>254</v>
      </c>
      <c r="Z62" s="71" t="s">
        <v>288</v>
      </c>
      <c r="AA62" s="71" t="s">
        <v>202</v>
      </c>
      <c r="AB62" s="71" t="s">
        <v>250</v>
      </c>
      <c r="AC62" s="75"/>
      <c r="AE62" s="71" t="s">
        <v>196</v>
      </c>
      <c r="AF62" s="71" t="s">
        <v>267</v>
      </c>
      <c r="AG62" s="71" t="s">
        <v>198</v>
      </c>
      <c r="AH62" s="76" t="s">
        <v>299</v>
      </c>
      <c r="AK62" s="71" t="s">
        <v>206</v>
      </c>
      <c r="AL62" s="75" t="s">
        <v>213</v>
      </c>
      <c r="AM62" s="71"/>
      <c r="AN62" s="71"/>
      <c r="AO62" s="71" t="s">
        <v>208</v>
      </c>
      <c r="AP62" s="71" t="s">
        <v>239</v>
      </c>
      <c r="AQ62" s="71"/>
      <c r="AS62" s="71"/>
      <c r="AT62" s="75" t="s">
        <v>218</v>
      </c>
      <c r="AV62" s="75" t="s">
        <v>218</v>
      </c>
      <c r="AW62" s="75" t="s">
        <v>200</v>
      </c>
      <c r="AX62" s="75" t="str">
        <f t="shared" si="3"/>
        <v>JULIANA HERNANDEZ BARRERA</v>
      </c>
      <c r="BK62" s="71"/>
      <c r="BL62" s="71"/>
    </row>
    <row r="63" spans="1:64" x14ac:dyDescent="0.25">
      <c r="A63" s="70">
        <v>2977754</v>
      </c>
      <c r="B63" s="71" t="s">
        <v>245</v>
      </c>
      <c r="C63" s="71">
        <v>29</v>
      </c>
      <c r="D63" s="72" t="s">
        <v>101</v>
      </c>
      <c r="E63" s="73" t="s">
        <v>97</v>
      </c>
      <c r="F63" s="74">
        <f t="shared" si="2"/>
        <v>46066</v>
      </c>
      <c r="G63" s="73" t="s">
        <v>98</v>
      </c>
      <c r="H63" s="73" t="s">
        <v>306</v>
      </c>
      <c r="I63" s="71" t="s">
        <v>306</v>
      </c>
      <c r="J63" s="71" t="s">
        <v>221</v>
      </c>
      <c r="M63" s="70" t="s">
        <v>306</v>
      </c>
      <c r="N63" s="71" t="s">
        <v>309</v>
      </c>
      <c r="O63" s="71" t="str">
        <f>VLOOKUP(A63,Hoja4!$A$2:$B$247,2,FALSE)</f>
        <v>LAURA VIVIANA MONTERO DURAN       </v>
      </c>
      <c r="Q63" s="73" t="s">
        <v>297</v>
      </c>
      <c r="R63" s="71" t="s">
        <v>294</v>
      </c>
      <c r="S63" s="75" t="s">
        <v>242</v>
      </c>
      <c r="T63" s="75" t="s">
        <v>257</v>
      </c>
      <c r="U63" s="75" t="s">
        <v>204</v>
      </c>
      <c r="V63" s="71" t="s">
        <v>269</v>
      </c>
      <c r="W63" s="75" t="s">
        <v>198</v>
      </c>
      <c r="X63" s="71" t="s">
        <v>266</v>
      </c>
      <c r="Y63" s="75" t="s">
        <v>209</v>
      </c>
      <c r="Z63" s="71" t="s">
        <v>236</v>
      </c>
      <c r="AA63" s="71" t="s">
        <v>254</v>
      </c>
      <c r="AB63" s="71" t="s">
        <v>255</v>
      </c>
      <c r="AC63" s="75"/>
      <c r="AE63" s="71" t="s">
        <v>196</v>
      </c>
      <c r="AF63" s="71" t="s">
        <v>219</v>
      </c>
      <c r="AG63" s="71" t="s">
        <v>200</v>
      </c>
      <c r="AH63" s="76" t="s">
        <v>220</v>
      </c>
      <c r="AK63" s="71" t="s">
        <v>206</v>
      </c>
      <c r="AL63" s="75" t="s">
        <v>213</v>
      </c>
      <c r="AM63" s="71"/>
      <c r="AN63" s="71"/>
      <c r="AO63" s="71" t="s">
        <v>208</v>
      </c>
      <c r="AP63" s="71" t="s">
        <v>278</v>
      </c>
      <c r="AQ63" s="71"/>
      <c r="AS63" s="71" t="s">
        <v>202</v>
      </c>
      <c r="AT63" s="75" t="s">
        <v>203</v>
      </c>
      <c r="AV63" s="75" t="s">
        <v>218</v>
      </c>
      <c r="AX63" s="75" t="str">
        <f t="shared" si="3"/>
        <v/>
      </c>
      <c r="BK63" s="71"/>
      <c r="BL63" s="71"/>
    </row>
    <row r="64" spans="1:64" x14ac:dyDescent="0.25">
      <c r="A64" s="70">
        <v>2977755</v>
      </c>
      <c r="B64" s="71" t="s">
        <v>245</v>
      </c>
      <c r="C64" s="71">
        <v>31</v>
      </c>
      <c r="D64" s="72" t="s">
        <v>101</v>
      </c>
      <c r="E64" s="73" t="s">
        <v>97</v>
      </c>
      <c r="F64" s="74">
        <f t="shared" si="2"/>
        <v>46066</v>
      </c>
      <c r="G64" s="73" t="s">
        <v>98</v>
      </c>
      <c r="H64" s="73" t="s">
        <v>306</v>
      </c>
      <c r="I64" s="71" t="s">
        <v>306</v>
      </c>
      <c r="J64" s="71" t="s">
        <v>221</v>
      </c>
      <c r="M64" s="70" t="s">
        <v>306</v>
      </c>
      <c r="N64" s="71" t="s">
        <v>309</v>
      </c>
      <c r="O64" s="71" t="str">
        <f>VLOOKUP(A64,Hoja4!$A$2:$B$247,2,FALSE)</f>
        <v>LAURA VIVIANA MONTERO DURAN       </v>
      </c>
      <c r="Q64" s="73" t="s">
        <v>297</v>
      </c>
      <c r="R64" s="71" t="s">
        <v>294</v>
      </c>
      <c r="S64" s="75" t="s">
        <v>254</v>
      </c>
      <c r="T64" s="75" t="s">
        <v>255</v>
      </c>
      <c r="U64" s="75" t="s">
        <v>204</v>
      </c>
      <c r="V64" s="71" t="s">
        <v>221</v>
      </c>
      <c r="W64" s="75" t="s">
        <v>198</v>
      </c>
      <c r="X64" s="71" t="s">
        <v>264</v>
      </c>
      <c r="Y64" s="75" t="s">
        <v>209</v>
      </c>
      <c r="Z64" s="71" t="s">
        <v>236</v>
      </c>
      <c r="AA64" s="71" t="s">
        <v>202</v>
      </c>
      <c r="AB64" s="71" t="s">
        <v>256</v>
      </c>
      <c r="AC64" s="75"/>
      <c r="AE64" s="71" t="s">
        <v>196</v>
      </c>
      <c r="AF64" s="71" t="s">
        <v>267</v>
      </c>
      <c r="AG64" s="71" t="s">
        <v>200</v>
      </c>
      <c r="AH64" s="76" t="s">
        <v>220</v>
      </c>
      <c r="AK64" s="71" t="s">
        <v>206</v>
      </c>
      <c r="AL64" s="75" t="s">
        <v>227</v>
      </c>
      <c r="AM64" s="71"/>
      <c r="AN64" s="71"/>
      <c r="AO64" s="71" t="s">
        <v>208</v>
      </c>
      <c r="AP64" s="71" t="s">
        <v>278</v>
      </c>
      <c r="AQ64" s="71"/>
      <c r="AS64" s="71"/>
      <c r="AT64" s="75" t="s">
        <v>218</v>
      </c>
      <c r="AV64" s="75" t="s">
        <v>218</v>
      </c>
      <c r="AW64" s="75" t="s">
        <v>242</v>
      </c>
      <c r="AX64" s="75" t="str">
        <f t="shared" si="3"/>
        <v>LAURA SOFIA PAEZ GALLO</v>
      </c>
      <c r="BK64" s="71"/>
      <c r="BL64" s="71"/>
    </row>
    <row r="65" spans="1:64" x14ac:dyDescent="0.25">
      <c r="A65" s="70">
        <v>2977756</v>
      </c>
      <c r="B65" s="71" t="s">
        <v>245</v>
      </c>
      <c r="C65" s="71">
        <v>27</v>
      </c>
      <c r="D65" s="72" t="s">
        <v>101</v>
      </c>
      <c r="E65" s="73" t="s">
        <v>97</v>
      </c>
      <c r="F65" s="74">
        <f t="shared" si="2"/>
        <v>46066</v>
      </c>
      <c r="G65" s="73" t="s">
        <v>98</v>
      </c>
      <c r="H65" s="73" t="s">
        <v>310</v>
      </c>
      <c r="I65" s="71" t="s">
        <v>310</v>
      </c>
      <c r="J65" s="71" t="s">
        <v>227</v>
      </c>
      <c r="M65" s="70" t="s">
        <v>210</v>
      </c>
      <c r="N65" s="71" t="s">
        <v>311</v>
      </c>
      <c r="O65" s="71" t="str">
        <f>VLOOKUP(A65,Hoja4!$A$2:$B$247,2,FALSE)</f>
        <v>CLAUDIA ROCIO VACCA GARCIA</v>
      </c>
      <c r="Q65" s="73" t="s">
        <v>297</v>
      </c>
      <c r="R65" s="71" t="s">
        <v>294</v>
      </c>
      <c r="S65" s="75" t="s">
        <v>254</v>
      </c>
      <c r="T65" s="75" t="s">
        <v>255</v>
      </c>
      <c r="U65" s="75" t="s">
        <v>204</v>
      </c>
      <c r="V65" s="71" t="s">
        <v>258</v>
      </c>
      <c r="W65" s="75" t="s">
        <v>198</v>
      </c>
      <c r="X65" s="71" t="s">
        <v>299</v>
      </c>
      <c r="Y65" s="75" t="s">
        <v>209</v>
      </c>
      <c r="Z65" s="71" t="s">
        <v>236</v>
      </c>
      <c r="AA65" s="71" t="s">
        <v>196</v>
      </c>
      <c r="AB65" s="71" t="s">
        <v>312</v>
      </c>
      <c r="AC65" s="75" t="s">
        <v>200</v>
      </c>
      <c r="AD65" s="71" t="s">
        <v>201</v>
      </c>
      <c r="AE65" s="71" t="s">
        <v>242</v>
      </c>
      <c r="AF65" s="71" t="s">
        <v>243</v>
      </c>
      <c r="AG65" s="71" t="s">
        <v>206</v>
      </c>
      <c r="AH65" s="76" t="s">
        <v>207</v>
      </c>
      <c r="AK65" s="71" t="s">
        <v>208</v>
      </c>
      <c r="AL65" s="75" t="s">
        <v>235</v>
      </c>
      <c r="AM65" s="71"/>
      <c r="AN65" s="71"/>
      <c r="AO65" s="71"/>
      <c r="AP65" s="71"/>
      <c r="AQ65" s="71"/>
      <c r="AS65" s="71" t="s">
        <v>202</v>
      </c>
      <c r="AT65" s="75" t="s">
        <v>216</v>
      </c>
      <c r="AV65" s="75" t="s">
        <v>218</v>
      </c>
      <c r="AX65" s="75" t="str">
        <f t="shared" si="3"/>
        <v/>
      </c>
      <c r="BK65" s="71"/>
      <c r="BL65" s="71"/>
    </row>
    <row r="66" spans="1:64" x14ac:dyDescent="0.25">
      <c r="A66" s="70">
        <v>2977757</v>
      </c>
      <c r="B66" s="71" t="s">
        <v>245</v>
      </c>
      <c r="C66" s="71">
        <v>23</v>
      </c>
      <c r="D66" s="72" t="s">
        <v>101</v>
      </c>
      <c r="E66" s="73" t="s">
        <v>97</v>
      </c>
      <c r="F66" s="74">
        <f t="shared" si="2"/>
        <v>46066</v>
      </c>
      <c r="G66" s="73" t="s">
        <v>98</v>
      </c>
      <c r="H66" s="73" t="s">
        <v>310</v>
      </c>
      <c r="I66" s="71" t="s">
        <v>310</v>
      </c>
      <c r="J66" s="71" t="s">
        <v>227</v>
      </c>
      <c r="M66" s="70" t="s">
        <v>210</v>
      </c>
      <c r="N66" s="71" t="s">
        <v>313</v>
      </c>
      <c r="O66" s="71" t="str">
        <f>VLOOKUP(A66,Hoja4!$A$2:$B$247,2,FALSE)</f>
        <v>CLAUDIA ROCIO VACCA GARCIA</v>
      </c>
      <c r="Q66" s="73" t="s">
        <v>297</v>
      </c>
      <c r="R66" s="71" t="s">
        <v>294</v>
      </c>
      <c r="S66" s="75" t="s">
        <v>254</v>
      </c>
      <c r="T66" s="75" t="s">
        <v>276</v>
      </c>
      <c r="U66" s="75" t="s">
        <v>204</v>
      </c>
      <c r="V66" s="71" t="s">
        <v>221</v>
      </c>
      <c r="W66" s="75" t="s">
        <v>242</v>
      </c>
      <c r="X66" s="71" t="s">
        <v>257</v>
      </c>
      <c r="Y66" s="75" t="s">
        <v>209</v>
      </c>
      <c r="Z66" s="71" t="s">
        <v>236</v>
      </c>
      <c r="AA66" s="71" t="s">
        <v>196</v>
      </c>
      <c r="AB66" s="71" t="s">
        <v>267</v>
      </c>
      <c r="AC66" s="75" t="s">
        <v>198</v>
      </c>
      <c r="AD66" s="71" t="s">
        <v>199</v>
      </c>
      <c r="AE66" s="71" t="s">
        <v>200</v>
      </c>
      <c r="AF66" s="71" t="s">
        <v>220</v>
      </c>
      <c r="AG66" s="71" t="s">
        <v>206</v>
      </c>
      <c r="AH66" s="76" t="s">
        <v>207</v>
      </c>
      <c r="AK66" s="71" t="s">
        <v>208</v>
      </c>
      <c r="AL66" s="75" t="s">
        <v>278</v>
      </c>
      <c r="AM66" s="71"/>
      <c r="AN66" s="71"/>
      <c r="AO66" s="71"/>
      <c r="AP66" s="71"/>
      <c r="AQ66" s="71"/>
      <c r="AS66" s="71" t="s">
        <v>202</v>
      </c>
      <c r="AT66" s="75" t="s">
        <v>216</v>
      </c>
      <c r="AV66" s="75" t="s">
        <v>218</v>
      </c>
      <c r="AX66" s="75" t="str">
        <f t="shared" si="3"/>
        <v/>
      </c>
      <c r="BK66" s="71"/>
      <c r="BL66" s="71"/>
    </row>
    <row r="67" spans="1:64" x14ac:dyDescent="0.25">
      <c r="A67" s="70">
        <v>2977758</v>
      </c>
      <c r="B67" s="71" t="s">
        <v>245</v>
      </c>
      <c r="C67" s="71">
        <v>17</v>
      </c>
      <c r="D67" s="72" t="s">
        <v>101</v>
      </c>
      <c r="E67" s="73" t="s">
        <v>97</v>
      </c>
      <c r="F67" s="74">
        <f t="shared" si="2"/>
        <v>46066</v>
      </c>
      <c r="G67" s="73" t="s">
        <v>98</v>
      </c>
      <c r="H67" s="73" t="s">
        <v>310</v>
      </c>
      <c r="I67" s="71" t="s">
        <v>310</v>
      </c>
      <c r="J67" s="71" t="s">
        <v>227</v>
      </c>
      <c r="M67" s="70" t="s">
        <v>210</v>
      </c>
      <c r="N67" s="71" t="s">
        <v>313</v>
      </c>
      <c r="O67" s="71" t="str">
        <f>VLOOKUP(A67,Hoja4!$A$2:$B$247,2,FALSE)</f>
        <v>CLAUDIA ROCIO VACCA GARCIA</v>
      </c>
      <c r="Q67" s="73" t="s">
        <v>297</v>
      </c>
      <c r="R67" s="71" t="s">
        <v>294</v>
      </c>
      <c r="S67" s="75" t="s">
        <v>254</v>
      </c>
      <c r="T67" s="75" t="s">
        <v>276</v>
      </c>
      <c r="U67" s="75" t="s">
        <v>204</v>
      </c>
      <c r="V67" s="71" t="s">
        <v>258</v>
      </c>
      <c r="W67" s="75" t="s">
        <v>242</v>
      </c>
      <c r="X67" s="71" t="s">
        <v>257</v>
      </c>
      <c r="Y67" s="75" t="s">
        <v>209</v>
      </c>
      <c r="Z67" s="71" t="s">
        <v>251</v>
      </c>
      <c r="AA67" s="71" t="s">
        <v>196</v>
      </c>
      <c r="AB67" s="71" t="s">
        <v>267</v>
      </c>
      <c r="AC67" s="75" t="s">
        <v>198</v>
      </c>
      <c r="AD67" s="71" t="s">
        <v>266</v>
      </c>
      <c r="AE67" s="71" t="s">
        <v>200</v>
      </c>
      <c r="AF67" s="71" t="s">
        <v>201</v>
      </c>
      <c r="AG67" s="71" t="s">
        <v>206</v>
      </c>
      <c r="AH67" s="76" t="s">
        <v>207</v>
      </c>
      <c r="AK67" s="71" t="s">
        <v>208</v>
      </c>
      <c r="AL67" s="75" t="s">
        <v>239</v>
      </c>
      <c r="AM67" s="71"/>
      <c r="AN67" s="71"/>
      <c r="AO67" s="71"/>
      <c r="AP67" s="71"/>
      <c r="AQ67" s="71"/>
      <c r="AS67" s="71" t="s">
        <v>202</v>
      </c>
      <c r="AT67" s="75" t="s">
        <v>203</v>
      </c>
      <c r="AV67" s="75" t="s">
        <v>218</v>
      </c>
      <c r="AX67" s="75" t="str">
        <f t="shared" ref="AX67:AX74" si="4">IFERROR(VLOOKUP(A67,_p7_2025,2,FALSE),"")</f>
        <v/>
      </c>
      <c r="BK67" s="71"/>
      <c r="BL67" s="71"/>
    </row>
    <row r="68" spans="1:64" x14ac:dyDescent="0.25">
      <c r="A68" s="70">
        <v>2977759</v>
      </c>
      <c r="B68" s="71" t="s">
        <v>245</v>
      </c>
      <c r="C68" s="71">
        <v>29</v>
      </c>
      <c r="D68" s="72" t="s">
        <v>101</v>
      </c>
      <c r="E68" s="73" t="s">
        <v>97</v>
      </c>
      <c r="F68" s="74">
        <f t="shared" si="2"/>
        <v>46066</v>
      </c>
      <c r="G68" s="73" t="s">
        <v>98</v>
      </c>
      <c r="H68" s="73" t="s">
        <v>306</v>
      </c>
      <c r="I68" s="71" t="s">
        <v>306</v>
      </c>
      <c r="J68" s="71" t="s">
        <v>227</v>
      </c>
      <c r="M68" s="70" t="s">
        <v>306</v>
      </c>
      <c r="N68" s="71" t="s">
        <v>313</v>
      </c>
      <c r="O68" s="71" t="str">
        <f>VLOOKUP(A68,Hoja4!$A$2:$B$247,2,FALSE)</f>
        <v>LAURA VIVIANA MONTERO DURAN       </v>
      </c>
      <c r="Q68" s="73" t="s">
        <v>297</v>
      </c>
      <c r="R68" s="71" t="s">
        <v>294</v>
      </c>
      <c r="S68" s="75" t="s">
        <v>254</v>
      </c>
      <c r="T68" s="75" t="s">
        <v>276</v>
      </c>
      <c r="U68" s="75" t="s">
        <v>204</v>
      </c>
      <c r="V68" s="71" t="s">
        <v>258</v>
      </c>
      <c r="W68" s="75" t="s">
        <v>198</v>
      </c>
      <c r="X68" s="71" t="s">
        <v>264</v>
      </c>
      <c r="Y68" s="75" t="s">
        <v>209</v>
      </c>
      <c r="Z68" s="71" t="s">
        <v>251</v>
      </c>
      <c r="AA68" s="71" t="s">
        <v>196</v>
      </c>
      <c r="AB68" s="71" t="s">
        <v>312</v>
      </c>
      <c r="AC68" s="75" t="s">
        <v>200</v>
      </c>
      <c r="AD68" s="71" t="s">
        <v>220</v>
      </c>
      <c r="AE68" s="71" t="s">
        <v>242</v>
      </c>
      <c r="AF68" s="71" t="s">
        <v>243</v>
      </c>
      <c r="AG68" s="71" t="s">
        <v>206</v>
      </c>
      <c r="AH68" s="76" t="s">
        <v>207</v>
      </c>
      <c r="AK68" s="71" t="s">
        <v>208</v>
      </c>
      <c r="AL68" s="75" t="s">
        <v>235</v>
      </c>
      <c r="AM68" s="71"/>
      <c r="AN68" s="71"/>
      <c r="AO68" s="71"/>
      <c r="AP68" s="71"/>
      <c r="AQ68" s="71"/>
      <c r="AS68" s="71" t="s">
        <v>202</v>
      </c>
      <c r="AT68" s="75" t="s">
        <v>216</v>
      </c>
      <c r="AV68" s="75" t="s">
        <v>218</v>
      </c>
      <c r="AX68" s="75" t="str">
        <f t="shared" si="4"/>
        <v/>
      </c>
      <c r="BK68" s="71"/>
      <c r="BL68" s="71"/>
    </row>
    <row r="69" spans="1:64" x14ac:dyDescent="0.25">
      <c r="A69" s="70">
        <v>2977760</v>
      </c>
      <c r="B69" s="71" t="s">
        <v>245</v>
      </c>
      <c r="C69" s="71">
        <v>42</v>
      </c>
      <c r="D69" s="72" t="s">
        <v>101</v>
      </c>
      <c r="E69" s="73" t="s">
        <v>97</v>
      </c>
      <c r="F69" s="74">
        <f t="shared" si="2"/>
        <v>46066</v>
      </c>
      <c r="G69" s="73" t="s">
        <v>98</v>
      </c>
      <c r="H69" s="73" t="s">
        <v>314</v>
      </c>
      <c r="I69" s="71" t="s">
        <v>306</v>
      </c>
      <c r="J69" s="71" t="s">
        <v>227</v>
      </c>
      <c r="M69" s="70" t="s">
        <v>315</v>
      </c>
      <c r="N69" s="71" t="s">
        <v>313</v>
      </c>
      <c r="O69" s="71" t="str">
        <f>VLOOKUP(A69,Hoja4!$A$2:$B$247,2,FALSE)</f>
        <v>NIXA TATIANA OLAVE PEREZ      </v>
      </c>
      <c r="Q69" s="73" t="s">
        <v>297</v>
      </c>
      <c r="R69" s="71" t="s">
        <v>294</v>
      </c>
      <c r="S69" s="75" t="s">
        <v>254</v>
      </c>
      <c r="T69" s="75" t="s">
        <v>276</v>
      </c>
      <c r="U69" s="75" t="s">
        <v>204</v>
      </c>
      <c r="V69" s="71" t="s">
        <v>217</v>
      </c>
      <c r="W69" s="75" t="s">
        <v>198</v>
      </c>
      <c r="X69" s="71" t="s">
        <v>305</v>
      </c>
      <c r="Y69" s="75" t="s">
        <v>209</v>
      </c>
      <c r="Z69" s="71" t="s">
        <v>236</v>
      </c>
      <c r="AA69" s="71" t="s">
        <v>196</v>
      </c>
      <c r="AB69" s="71" t="s">
        <v>312</v>
      </c>
      <c r="AC69" s="75" t="s">
        <v>200</v>
      </c>
      <c r="AD69" s="71" t="s">
        <v>220</v>
      </c>
      <c r="AE69" s="71" t="s">
        <v>202</v>
      </c>
      <c r="AF69" s="71" t="s">
        <v>216</v>
      </c>
      <c r="AG69" s="71" t="s">
        <v>242</v>
      </c>
      <c r="AH69" s="76" t="s">
        <v>243</v>
      </c>
      <c r="AK69" s="71" t="s">
        <v>206</v>
      </c>
      <c r="AL69" s="75" t="s">
        <v>213</v>
      </c>
      <c r="AM69" s="71"/>
      <c r="AN69" s="71"/>
      <c r="AO69" s="71" t="s">
        <v>208</v>
      </c>
      <c r="AP69" s="71" t="s">
        <v>239</v>
      </c>
      <c r="AQ69" s="71"/>
      <c r="AS69" s="71"/>
      <c r="AT69" s="75" t="s">
        <v>218</v>
      </c>
      <c r="AV69" s="75" t="s">
        <v>218</v>
      </c>
      <c r="AX69" s="75" t="str">
        <f t="shared" si="4"/>
        <v/>
      </c>
      <c r="BK69" s="71"/>
      <c r="BL69" s="71"/>
    </row>
    <row r="70" spans="1:64" x14ac:dyDescent="0.25">
      <c r="A70" s="70">
        <v>2977761</v>
      </c>
      <c r="B70" s="71" t="s">
        <v>245</v>
      </c>
      <c r="C70" s="71">
        <v>43</v>
      </c>
      <c r="D70" s="72" t="s">
        <v>101</v>
      </c>
      <c r="E70" s="73" t="s">
        <v>97</v>
      </c>
      <c r="F70" s="74">
        <f t="shared" si="2"/>
        <v>46066</v>
      </c>
      <c r="G70" s="73" t="s">
        <v>98</v>
      </c>
      <c r="H70" s="73" t="s">
        <v>314</v>
      </c>
      <c r="I70" s="71" t="s">
        <v>306</v>
      </c>
      <c r="J70" s="71" t="s">
        <v>227</v>
      </c>
      <c r="M70" s="70" t="s">
        <v>315</v>
      </c>
      <c r="N70" s="71" t="s">
        <v>313</v>
      </c>
      <c r="O70" s="71" t="str">
        <f>VLOOKUP(A70,Hoja4!$A$2:$B$247,2,FALSE)</f>
        <v>NIXA TATIANA OLAVE PEREZ      </v>
      </c>
      <c r="Q70" s="73" t="s">
        <v>297</v>
      </c>
      <c r="R70" s="71" t="s">
        <v>294</v>
      </c>
      <c r="S70" s="75" t="s">
        <v>204</v>
      </c>
      <c r="T70" s="75" t="s">
        <v>258</v>
      </c>
      <c r="U70" s="75" t="s">
        <v>254</v>
      </c>
      <c r="V70" s="71" t="s">
        <v>255</v>
      </c>
      <c r="W70" s="75" t="s">
        <v>198</v>
      </c>
      <c r="X70" s="71" t="s">
        <v>308</v>
      </c>
      <c r="Y70" s="75" t="s">
        <v>209</v>
      </c>
      <c r="Z70" s="71" t="s">
        <v>251</v>
      </c>
      <c r="AA70" s="71" t="s">
        <v>196</v>
      </c>
      <c r="AB70" s="71" t="s">
        <v>312</v>
      </c>
      <c r="AC70" s="75" t="s">
        <v>200</v>
      </c>
      <c r="AD70" s="71" t="s">
        <v>201</v>
      </c>
      <c r="AE70" s="71" t="s">
        <v>202</v>
      </c>
      <c r="AF70" s="71" t="s">
        <v>216</v>
      </c>
      <c r="AG70" s="71" t="s">
        <v>242</v>
      </c>
      <c r="AH70" s="76" t="s">
        <v>243</v>
      </c>
      <c r="AK70" s="71" t="s">
        <v>206</v>
      </c>
      <c r="AL70" s="75" t="s">
        <v>213</v>
      </c>
      <c r="AM70" s="71"/>
      <c r="AN70" s="71"/>
      <c r="AO70" s="71" t="s">
        <v>208</v>
      </c>
      <c r="AP70" s="71" t="s">
        <v>278</v>
      </c>
      <c r="AQ70" s="71"/>
      <c r="AS70" s="71"/>
      <c r="AT70" s="75" t="s">
        <v>218</v>
      </c>
      <c r="AV70" s="75" t="s">
        <v>218</v>
      </c>
      <c r="AX70" s="75" t="str">
        <f t="shared" si="4"/>
        <v/>
      </c>
      <c r="BK70" s="71"/>
      <c r="BL70" s="71"/>
    </row>
    <row r="71" spans="1:64" x14ac:dyDescent="0.25">
      <c r="A71" s="70">
        <v>2977762</v>
      </c>
      <c r="B71" s="71" t="s">
        <v>245</v>
      </c>
      <c r="C71" s="71">
        <v>32</v>
      </c>
      <c r="D71" s="72" t="s">
        <v>101</v>
      </c>
      <c r="E71" s="73" t="s">
        <v>97</v>
      </c>
      <c r="F71" s="74">
        <f t="shared" si="2"/>
        <v>46066</v>
      </c>
      <c r="G71" s="73" t="s">
        <v>98</v>
      </c>
      <c r="H71" s="73" t="s">
        <v>315</v>
      </c>
      <c r="I71" s="71" t="s">
        <v>315</v>
      </c>
      <c r="J71" s="71" t="s">
        <v>227</v>
      </c>
      <c r="M71" s="70" t="s">
        <v>315</v>
      </c>
      <c r="N71" s="71" t="s">
        <v>313</v>
      </c>
      <c r="O71" s="71" t="str">
        <f>VLOOKUP(A71,Hoja4!$A$2:$B$247,2,FALSE)</f>
        <v>NIXA TATIANA OLAVE PEREZ      </v>
      </c>
      <c r="Q71" s="73" t="s">
        <v>297</v>
      </c>
      <c r="R71" s="71" t="s">
        <v>294</v>
      </c>
      <c r="S71" s="75" t="s">
        <v>208</v>
      </c>
      <c r="T71" s="75" t="s">
        <v>289</v>
      </c>
      <c r="U71" s="75" t="s">
        <v>204</v>
      </c>
      <c r="V71" s="71" t="s">
        <v>269</v>
      </c>
      <c r="W71" s="75" t="s">
        <v>242</v>
      </c>
      <c r="X71" s="71" t="s">
        <v>257</v>
      </c>
      <c r="Y71" s="75" t="s">
        <v>254</v>
      </c>
      <c r="Z71" s="71" t="s">
        <v>255</v>
      </c>
      <c r="AA71" s="71" t="s">
        <v>209</v>
      </c>
      <c r="AB71" s="71" t="s">
        <v>226</v>
      </c>
      <c r="AC71" s="75" t="s">
        <v>202</v>
      </c>
      <c r="AD71" s="71" t="s">
        <v>216</v>
      </c>
      <c r="AE71" s="71" t="s">
        <v>196</v>
      </c>
      <c r="AF71" s="71" t="s">
        <v>267</v>
      </c>
      <c r="AG71" s="71" t="s">
        <v>198</v>
      </c>
      <c r="AH71" s="76" t="s">
        <v>253</v>
      </c>
      <c r="AK71" s="71" t="s">
        <v>206</v>
      </c>
      <c r="AL71" s="75" t="s">
        <v>227</v>
      </c>
      <c r="AM71" s="71"/>
      <c r="AN71" s="71"/>
      <c r="AO71" s="71" t="s">
        <v>200</v>
      </c>
      <c r="AP71" s="71" t="s">
        <v>201</v>
      </c>
      <c r="AQ71" s="71"/>
      <c r="AS71" s="71"/>
      <c r="AT71" s="75" t="s">
        <v>218</v>
      </c>
      <c r="AV71" s="75" t="s">
        <v>218</v>
      </c>
      <c r="AX71" s="75" t="str">
        <f t="shared" si="4"/>
        <v/>
      </c>
      <c r="BK71" s="71"/>
      <c r="BL71" s="71"/>
    </row>
    <row r="72" spans="1:64" x14ac:dyDescent="0.25">
      <c r="A72" s="70">
        <v>2977763</v>
      </c>
      <c r="B72" s="71" t="s">
        <v>245</v>
      </c>
      <c r="C72" s="71">
        <v>41</v>
      </c>
      <c r="D72" s="72" t="s">
        <v>101</v>
      </c>
      <c r="E72" s="73" t="s">
        <v>97</v>
      </c>
      <c r="F72" s="74">
        <f t="shared" si="2"/>
        <v>46066</v>
      </c>
      <c r="G72" s="73" t="s">
        <v>98</v>
      </c>
      <c r="H72" s="73" t="s">
        <v>315</v>
      </c>
      <c r="I72" s="71" t="s">
        <v>315</v>
      </c>
      <c r="J72" s="71" t="s">
        <v>227</v>
      </c>
      <c r="M72" s="70" t="s">
        <v>315</v>
      </c>
      <c r="N72" s="71" t="s">
        <v>316</v>
      </c>
      <c r="O72" s="71" t="str">
        <f>VLOOKUP(A72,Hoja4!$A$2:$B$247,2,FALSE)</f>
        <v>NIXA TATIANA OLAVE PEREZ      </v>
      </c>
      <c r="Q72" s="73" t="s">
        <v>297</v>
      </c>
      <c r="R72" s="71" t="s">
        <v>294</v>
      </c>
      <c r="S72" s="75" t="s">
        <v>208</v>
      </c>
      <c r="T72" s="75" t="s">
        <v>235</v>
      </c>
      <c r="U72" s="75" t="s">
        <v>204</v>
      </c>
      <c r="V72" s="71" t="s">
        <v>275</v>
      </c>
      <c r="W72" s="75" t="s">
        <v>198</v>
      </c>
      <c r="X72" s="71" t="s">
        <v>305</v>
      </c>
      <c r="Y72" s="75" t="s">
        <v>254</v>
      </c>
      <c r="Z72" s="71" t="s">
        <v>255</v>
      </c>
      <c r="AA72" s="71" t="s">
        <v>209</v>
      </c>
      <c r="AB72" s="71" t="s">
        <v>251</v>
      </c>
      <c r="AC72" s="75" t="s">
        <v>202</v>
      </c>
      <c r="AD72" s="71" t="s">
        <v>216</v>
      </c>
      <c r="AE72" s="71" t="s">
        <v>196</v>
      </c>
      <c r="AF72" s="71" t="s">
        <v>267</v>
      </c>
      <c r="AG72" s="71" t="s">
        <v>200</v>
      </c>
      <c r="AH72" s="76" t="s">
        <v>214</v>
      </c>
      <c r="AK72" s="71"/>
      <c r="AL72" s="75" t="s">
        <v>218</v>
      </c>
      <c r="AM72" s="71"/>
      <c r="AN72" s="71"/>
      <c r="AO72" s="71" t="s">
        <v>206</v>
      </c>
      <c r="AP72" s="71" t="s">
        <v>213</v>
      </c>
      <c r="AQ72" s="71"/>
      <c r="AS72" s="71"/>
      <c r="AT72" s="75" t="s">
        <v>218</v>
      </c>
      <c r="AV72" s="75" t="s">
        <v>218</v>
      </c>
      <c r="AW72" s="75" t="s">
        <v>242</v>
      </c>
      <c r="AX72" s="75" t="str">
        <f t="shared" si="4"/>
        <v>LAURA SOFIA PAEZ GALLO</v>
      </c>
      <c r="BK72" s="71"/>
      <c r="BL72" s="71"/>
    </row>
    <row r="73" spans="1:64" x14ac:dyDescent="0.25">
      <c r="A73" s="70">
        <v>2977764</v>
      </c>
      <c r="B73" s="71" t="s">
        <v>245</v>
      </c>
      <c r="C73" s="71">
        <v>35</v>
      </c>
      <c r="D73" s="72" t="s">
        <v>101</v>
      </c>
      <c r="E73" s="73" t="s">
        <v>97</v>
      </c>
      <c r="F73" s="74">
        <f t="shared" si="2"/>
        <v>46066</v>
      </c>
      <c r="G73" s="73" t="s">
        <v>98</v>
      </c>
      <c r="H73" s="73" t="s">
        <v>315</v>
      </c>
      <c r="I73" s="71" t="s">
        <v>315</v>
      </c>
      <c r="J73" s="71" t="s">
        <v>227</v>
      </c>
      <c r="M73" s="70" t="s">
        <v>315</v>
      </c>
      <c r="N73" s="71" t="s">
        <v>316</v>
      </c>
      <c r="O73" s="71" t="str">
        <f>VLOOKUP(A73,Hoja4!$A$2:$B$247,2,FALSE)</f>
        <v>NIXA TATIANA OLAVE PEREZ      </v>
      </c>
      <c r="Q73" s="73" t="s">
        <v>297</v>
      </c>
      <c r="R73" s="71" t="s">
        <v>294</v>
      </c>
      <c r="S73" s="75" t="s">
        <v>208</v>
      </c>
      <c r="T73" s="75" t="s">
        <v>235</v>
      </c>
      <c r="U73" s="75" t="s">
        <v>204</v>
      </c>
      <c r="V73" s="71" t="s">
        <v>217</v>
      </c>
      <c r="W73" s="75" t="s">
        <v>242</v>
      </c>
      <c r="X73" s="71" t="s">
        <v>257</v>
      </c>
      <c r="Y73" s="75" t="s">
        <v>202</v>
      </c>
      <c r="Z73" s="71" t="s">
        <v>250</v>
      </c>
      <c r="AA73" s="71" t="s">
        <v>254</v>
      </c>
      <c r="AB73" s="71" t="s">
        <v>276</v>
      </c>
      <c r="AC73" s="75" t="s">
        <v>209</v>
      </c>
      <c r="AD73" s="71" t="s">
        <v>236</v>
      </c>
      <c r="AE73" s="71" t="s">
        <v>196</v>
      </c>
      <c r="AF73" s="71" t="s">
        <v>267</v>
      </c>
      <c r="AG73" s="71" t="s">
        <v>198</v>
      </c>
      <c r="AH73" s="76" t="s">
        <v>253</v>
      </c>
      <c r="AK73" s="71" t="s">
        <v>206</v>
      </c>
      <c r="AL73" s="75" t="s">
        <v>207</v>
      </c>
      <c r="AM73" s="71"/>
      <c r="AN73" s="71"/>
      <c r="AO73" s="71" t="s">
        <v>200</v>
      </c>
      <c r="AP73" s="71" t="s">
        <v>220</v>
      </c>
      <c r="AQ73" s="71"/>
      <c r="AS73" s="71"/>
      <c r="AT73" s="75" t="s">
        <v>218</v>
      </c>
      <c r="AV73" s="75" t="s">
        <v>218</v>
      </c>
      <c r="AX73" s="75" t="str">
        <f t="shared" si="4"/>
        <v/>
      </c>
      <c r="BK73" s="71"/>
      <c r="BL73" s="71"/>
    </row>
    <row r="74" spans="1:64" x14ac:dyDescent="0.25">
      <c r="A74" s="77">
        <v>3236062</v>
      </c>
      <c r="B74" s="71" t="s">
        <v>190</v>
      </c>
      <c r="C74" s="71">
        <v>72</v>
      </c>
      <c r="D74" s="72" t="s">
        <v>91</v>
      </c>
      <c r="E74" s="73" t="s">
        <v>102</v>
      </c>
      <c r="F74" s="74">
        <v>46083</v>
      </c>
      <c r="G74" s="73" t="s">
        <v>103</v>
      </c>
      <c r="H74" s="73"/>
      <c r="K74" s="71" t="s">
        <v>229</v>
      </c>
      <c r="M74" s="70" t="s">
        <v>229</v>
      </c>
      <c r="O74" s="71" t="str">
        <f>VLOOKUP(A74,Hoja4!$A$2:$B$247,2,FALSE)</f>
        <v>MOISES EDGARDO MERIÑO POLO          </v>
      </c>
      <c r="P74" s="71" t="s">
        <v>223</v>
      </c>
      <c r="Q74" s="73" t="s">
        <v>224</v>
      </c>
      <c r="U74" s="75"/>
      <c r="W74" s="75"/>
      <c r="Y74" s="75"/>
      <c r="AC74" s="75"/>
      <c r="AH74" s="76"/>
      <c r="AK74" s="71"/>
      <c r="AM74" s="71"/>
      <c r="AN74" s="71"/>
      <c r="AO74" s="71" t="s">
        <v>198</v>
      </c>
      <c r="AP74" s="71" t="s">
        <v>253</v>
      </c>
      <c r="AQ74" s="71" t="s">
        <v>200</v>
      </c>
      <c r="AR74" s="75" t="s">
        <v>214</v>
      </c>
      <c r="AS74" s="71"/>
      <c r="AU74" s="75" t="s">
        <v>196</v>
      </c>
      <c r="AV74" s="75" t="s">
        <v>219</v>
      </c>
      <c r="AW74" s="75" t="s">
        <v>202</v>
      </c>
      <c r="AX74" s="75" t="str">
        <f t="shared" si="4"/>
        <v>CHRISTIAN CAMILO RODRIGUEZ SALAS</v>
      </c>
      <c r="BA74" s="75" t="s">
        <v>204</v>
      </c>
      <c r="BB74" s="75" t="s">
        <v>205</v>
      </c>
      <c r="BC74" s="75" t="s">
        <v>209</v>
      </c>
      <c r="BD74" s="78" t="s">
        <v>226</v>
      </c>
      <c r="BE74" s="75" t="s">
        <v>208</v>
      </c>
      <c r="BF74" s="75" t="s">
        <v>317</v>
      </c>
      <c r="BG74" s="75" t="s">
        <v>206</v>
      </c>
      <c r="BH74" s="75" t="s">
        <v>227</v>
      </c>
      <c r="BK74" s="71" t="s">
        <v>318</v>
      </c>
      <c r="BL74" t="str" cm="1">
        <f t="array" ref="BL74:BL256">TRIM(SUBSTITUTE(SUBSTITUTE(SUBSTITUTE(BK74:BK256, BE74:BE256, ""), BF2, ""), BG74:BG256, ""))</f>
        <v/>
      </c>
    </row>
    <row r="75" spans="1:64" x14ac:dyDescent="0.25">
      <c r="A75" s="70">
        <v>3236103</v>
      </c>
      <c r="B75" s="71" t="s">
        <v>190</v>
      </c>
      <c r="C75" s="71">
        <v>68</v>
      </c>
      <c r="D75" s="72" t="s">
        <v>91</v>
      </c>
      <c r="E75" s="73" t="s">
        <v>102</v>
      </c>
      <c r="F75" s="74">
        <v>46083</v>
      </c>
      <c r="G75" s="73" t="s">
        <v>103</v>
      </c>
      <c r="H75" s="73"/>
      <c r="K75" s="71" t="s">
        <v>229</v>
      </c>
      <c r="M75" s="70" t="s">
        <v>229</v>
      </c>
      <c r="O75" s="71" t="str">
        <f>VLOOKUP(A75,Hoja4!$A$2:$B$247,2,FALSE)</f>
        <v>MOISES EDGARDO MERIÑO POLO          </v>
      </c>
      <c r="P75" s="71" t="s">
        <v>223</v>
      </c>
      <c r="Q75" s="73" t="s">
        <v>224</v>
      </c>
      <c r="U75" s="75"/>
      <c r="W75" s="75"/>
      <c r="Y75" s="75"/>
      <c r="AC75" s="75"/>
      <c r="AH75" s="76"/>
      <c r="AK75" s="71"/>
      <c r="AM75" s="71"/>
      <c r="AN75" s="71"/>
      <c r="AO75" s="71" t="s">
        <v>198</v>
      </c>
      <c r="AP75" s="71" t="s">
        <v>225</v>
      </c>
      <c r="AQ75" s="71" t="s">
        <v>200</v>
      </c>
      <c r="AR75" s="75" t="s">
        <v>214</v>
      </c>
      <c r="AS75" s="71" t="s">
        <v>209</v>
      </c>
      <c r="AT75" s="75" t="s">
        <v>228</v>
      </c>
      <c r="AU75" s="75" t="s">
        <v>202</v>
      </c>
      <c r="AV75" s="75" t="s">
        <v>203</v>
      </c>
      <c r="AW75" s="75" t="s">
        <v>196</v>
      </c>
      <c r="AX75" s="75" t="str">
        <f t="shared" ref="AX75:AX98" si="5">IFERROR(VLOOKUP(A75,_p7_2025,2,FALSE),"")</f>
        <v>CESAR AUGUSTO BERMEO</v>
      </c>
      <c r="AY75" s="75" t="s">
        <v>206</v>
      </c>
      <c r="AZ75" s="75" t="s">
        <v>227</v>
      </c>
      <c r="BA75" s="75" t="s">
        <v>204</v>
      </c>
      <c r="BB75" s="75" t="str">
        <f>VLOOKUP(A75,_p8_2025,2,FALSE)</f>
        <v>IVAN DARIO RODRIGUEZ BUSTAMANTE</v>
      </c>
      <c r="BE75" s="75" t="s">
        <v>208</v>
      </c>
      <c r="BF75" s="75" t="s">
        <v>317</v>
      </c>
      <c r="BK75" s="71" t="s">
        <v>208</v>
      </c>
      <c r="BL75" s="71" t="str">
        <v/>
      </c>
    </row>
    <row r="76" spans="1:64" x14ac:dyDescent="0.25">
      <c r="A76" s="70">
        <v>3236104</v>
      </c>
      <c r="B76" s="71" t="s">
        <v>190</v>
      </c>
      <c r="C76" s="71">
        <v>73</v>
      </c>
      <c r="D76" s="72" t="s">
        <v>91</v>
      </c>
      <c r="E76" s="73" t="s">
        <v>102</v>
      </c>
      <c r="F76" s="74">
        <v>46083</v>
      </c>
      <c r="G76" s="73" t="s">
        <v>103</v>
      </c>
      <c r="H76" s="73"/>
      <c r="K76" s="71" t="s">
        <v>229</v>
      </c>
      <c r="M76" s="70" t="s">
        <v>229</v>
      </c>
      <c r="O76" s="71" t="str">
        <f>VLOOKUP(A76,Hoja4!$A$2:$B$247,2,FALSE)</f>
        <v>MOISES EDGARDO MERIÑO POLO          </v>
      </c>
      <c r="P76" s="71" t="s">
        <v>223</v>
      </c>
      <c r="Q76" s="73" t="s">
        <v>224</v>
      </c>
      <c r="U76" s="75"/>
      <c r="W76" s="75"/>
      <c r="Y76" s="75"/>
      <c r="AC76" s="75"/>
      <c r="AH76" s="76"/>
      <c r="AK76" s="71"/>
      <c r="AM76" s="71"/>
      <c r="AN76" s="71"/>
      <c r="AO76" s="71" t="s">
        <v>198</v>
      </c>
      <c r="AP76" s="71" t="s">
        <v>199</v>
      </c>
      <c r="AQ76" s="71" t="s">
        <v>200</v>
      </c>
      <c r="AR76" s="75" t="s">
        <v>319</v>
      </c>
      <c r="AS76" s="71" t="s">
        <v>206</v>
      </c>
      <c r="AT76" s="75" t="s">
        <v>213</v>
      </c>
      <c r="AU76" s="75" t="s">
        <v>202</v>
      </c>
      <c r="AV76" s="75" t="s">
        <v>216</v>
      </c>
      <c r="AW76" s="75" t="s">
        <v>196</v>
      </c>
      <c r="AX76" s="75" t="str">
        <f t="shared" si="5"/>
        <v>JORGE ARMANDO PIEDRAHITA</v>
      </c>
      <c r="BA76" s="75" t="s">
        <v>204</v>
      </c>
      <c r="BB76" s="75" t="str">
        <f>VLOOKUP(A76,_p8_2025,2,FALSE)</f>
        <v>NELSON ALFREDO VARGAS MORA</v>
      </c>
      <c r="BE76" s="75" t="s">
        <v>208</v>
      </c>
      <c r="BF76" s="75" t="s">
        <v>317</v>
      </c>
      <c r="BG76" s="75" t="s">
        <v>209</v>
      </c>
      <c r="BH76" s="75" t="s">
        <v>226</v>
      </c>
      <c r="BK76" s="71" t="s">
        <v>320</v>
      </c>
      <c r="BL76" s="71" t="str">
        <v/>
      </c>
    </row>
    <row r="77" spans="1:64" x14ac:dyDescent="0.25">
      <c r="A77" s="79">
        <v>3236113</v>
      </c>
      <c r="B77" s="71" t="s">
        <v>190</v>
      </c>
      <c r="C77" s="71">
        <v>67</v>
      </c>
      <c r="D77" s="72" t="s">
        <v>92</v>
      </c>
      <c r="E77" s="73" t="s">
        <v>102</v>
      </c>
      <c r="F77" s="74">
        <v>46083</v>
      </c>
      <c r="G77" s="73" t="s">
        <v>103</v>
      </c>
      <c r="H77" s="73"/>
      <c r="K77" s="71" t="s">
        <v>232</v>
      </c>
      <c r="M77" s="70" t="s">
        <v>232</v>
      </c>
      <c r="O77" s="71" t="str">
        <f>VLOOKUP(A77,Hoja4!$A$2:$B$247,2,FALSE)</f>
        <v>YERSON ALVEIRO DUARTE VELASCO   </v>
      </c>
      <c r="P77" s="71" t="s">
        <v>223</v>
      </c>
      <c r="Q77" s="73" t="s">
        <v>321</v>
      </c>
      <c r="U77" s="75"/>
      <c r="W77" s="75"/>
      <c r="Y77" s="75"/>
      <c r="AC77" s="75"/>
      <c r="AH77" s="76"/>
      <c r="AK77" s="71"/>
      <c r="AM77" s="71"/>
      <c r="AN77" s="71"/>
      <c r="AO77" s="71" t="s">
        <v>204</v>
      </c>
      <c r="AP77" s="71" t="s">
        <v>217</v>
      </c>
      <c r="AQ77" s="71" t="s">
        <v>206</v>
      </c>
      <c r="AR77" s="75" t="s">
        <v>207</v>
      </c>
      <c r="AS77" s="71"/>
      <c r="AU77" s="75" t="s">
        <v>196</v>
      </c>
      <c r="AV77" s="75" t="s">
        <v>219</v>
      </c>
      <c r="AW77" s="75" t="s">
        <v>209</v>
      </c>
      <c r="AX77" s="75" t="str">
        <f t="shared" si="5"/>
        <v>LUIS ARTURO BASTIDAS</v>
      </c>
      <c r="AY77" s="75" t="s">
        <v>198</v>
      </c>
      <c r="AZ77" s="75" t="s">
        <v>225</v>
      </c>
      <c r="BA77" s="75" t="s">
        <v>200</v>
      </c>
      <c r="BB77" s="75" t="str">
        <f>VLOOKUP(A77,_p8_2025,2,FALSE)</f>
        <v>JULIANA HERNANDEZ BARRERA</v>
      </c>
      <c r="BE77" s="75" t="s">
        <v>208</v>
      </c>
      <c r="BF77" s="75" t="s">
        <v>317</v>
      </c>
      <c r="BG77" s="75" t="s">
        <v>202</v>
      </c>
      <c r="BH77" s="75" t="s">
        <v>216</v>
      </c>
      <c r="BK77" s="71" t="s">
        <v>322</v>
      </c>
      <c r="BL77" s="71" t="str">
        <v/>
      </c>
    </row>
    <row r="78" spans="1:64" x14ac:dyDescent="0.25">
      <c r="A78" s="70">
        <v>2995652</v>
      </c>
      <c r="B78" s="71" t="s">
        <v>245</v>
      </c>
      <c r="C78" s="71">
        <v>53</v>
      </c>
      <c r="D78" s="72" t="s">
        <v>101</v>
      </c>
      <c r="E78" s="73" t="s">
        <v>104</v>
      </c>
      <c r="F78" s="74">
        <f>IF(
OR(((ROUND((G78-E78)/30,0))=27),((ROUND((G78-E78)/30,0))=15)),
EDATE(G78,-6),
IF(
(ROUND((G78-E78)/30,0))=12,
EDATE(G78,-3),
IF(
(ROUND((G78-E78)/30,0))=9,
EDATE(G78,0),"CALCULAR")))</f>
        <v>46084</v>
      </c>
      <c r="G78" s="73" t="s">
        <v>105</v>
      </c>
      <c r="H78" s="73" t="s">
        <v>315</v>
      </c>
      <c r="I78" s="71" t="s">
        <v>315</v>
      </c>
      <c r="J78" s="71" t="s">
        <v>227</v>
      </c>
      <c r="M78" s="70" t="s">
        <v>315</v>
      </c>
      <c r="N78" s="71" t="s">
        <v>192</v>
      </c>
      <c r="O78" s="71" t="str">
        <f>VLOOKUP(A78,Hoja4!$A$2:$B$247,2,FALSE)</f>
        <v>NIXA TATIANA OLAVE PEREZ      </v>
      </c>
      <c r="P78" s="71" t="s">
        <v>192</v>
      </c>
      <c r="Q78" s="73" t="s">
        <v>297</v>
      </c>
      <c r="R78" s="71" t="s">
        <v>294</v>
      </c>
      <c r="S78" s="75" t="s">
        <v>208</v>
      </c>
      <c r="T78" s="75" t="s">
        <v>289</v>
      </c>
      <c r="U78" s="75" t="s">
        <v>204</v>
      </c>
      <c r="V78" s="71" t="s">
        <v>217</v>
      </c>
      <c r="W78" s="75" t="s">
        <v>198</v>
      </c>
      <c r="X78" s="71" t="s">
        <v>266</v>
      </c>
      <c r="Y78" s="75" t="s">
        <v>254</v>
      </c>
      <c r="Z78" s="71" t="s">
        <v>276</v>
      </c>
      <c r="AA78" s="71" t="s">
        <v>209</v>
      </c>
      <c r="AB78" s="71" t="s">
        <v>236</v>
      </c>
      <c r="AC78" s="75" t="s">
        <v>202</v>
      </c>
      <c r="AD78" s="71" t="s">
        <v>216</v>
      </c>
      <c r="AE78" s="71" t="s">
        <v>206</v>
      </c>
      <c r="AF78" s="71" t="s">
        <v>227</v>
      </c>
      <c r="AG78" s="71" t="s">
        <v>242</v>
      </c>
      <c r="AH78" s="76" t="s">
        <v>243</v>
      </c>
      <c r="AK78" s="71" t="s">
        <v>196</v>
      </c>
      <c r="AL78" s="75" t="s">
        <v>197</v>
      </c>
      <c r="AM78" s="71"/>
      <c r="AN78" s="71"/>
      <c r="AO78" s="71" t="s">
        <v>200</v>
      </c>
      <c r="AP78" s="71" t="s">
        <v>214</v>
      </c>
      <c r="AQ78" s="71"/>
      <c r="AS78" s="71"/>
      <c r="AT78" s="75" t="s">
        <v>218</v>
      </c>
      <c r="AV78" s="75" t="s">
        <v>218</v>
      </c>
      <c r="AX78" s="75" t="str">
        <f t="shared" si="5"/>
        <v/>
      </c>
      <c r="BK78" s="71"/>
      <c r="BL78" s="71" t="str">
        <v/>
      </c>
    </row>
    <row r="79" spans="1:64" x14ac:dyDescent="0.25">
      <c r="A79" s="77">
        <v>3287439</v>
      </c>
      <c r="B79" s="71" t="s">
        <v>190</v>
      </c>
      <c r="C79" s="71">
        <v>66</v>
      </c>
      <c r="D79" s="72" t="s">
        <v>92</v>
      </c>
      <c r="E79" s="73" t="s">
        <v>106</v>
      </c>
      <c r="F79" s="74">
        <v>46140</v>
      </c>
      <c r="G79" s="73" t="s">
        <v>107</v>
      </c>
      <c r="H79" s="73"/>
      <c r="K79" s="71" t="s">
        <v>232</v>
      </c>
      <c r="M79" s="70" t="s">
        <v>232</v>
      </c>
      <c r="O79" s="71" t="str">
        <f>VLOOKUP(A79,Hoja4!$A$2:$B$247,2,FALSE)</f>
        <v>YERSON ALVEIRO DUARTE VELASCO   </v>
      </c>
      <c r="P79" s="71" t="s">
        <v>238</v>
      </c>
      <c r="Q79" s="73" t="s">
        <v>321</v>
      </c>
      <c r="U79" s="75"/>
      <c r="W79" s="75"/>
      <c r="Y79" s="75"/>
      <c r="AC79" s="75"/>
      <c r="AH79" s="76"/>
      <c r="AK79" s="71"/>
      <c r="AM79" s="71"/>
      <c r="AN79" s="71"/>
      <c r="AO79" s="71"/>
      <c r="AP79" s="71"/>
      <c r="AQ79" s="71"/>
      <c r="AS79" s="71" t="s">
        <v>200</v>
      </c>
      <c r="AT79" s="75" t="s">
        <v>214</v>
      </c>
      <c r="AU79" s="75" t="s">
        <v>206</v>
      </c>
      <c r="AV79" s="75" t="s">
        <v>213</v>
      </c>
      <c r="AW79" s="75" t="s">
        <v>204</v>
      </c>
      <c r="AX79" s="75" t="str">
        <f t="shared" si="5"/>
        <v>IVAN DARIO RODRIGUEZ BUSTAMANTE</v>
      </c>
      <c r="AY79" s="75" t="s">
        <v>198</v>
      </c>
      <c r="AZ79" s="75" t="s">
        <v>299</v>
      </c>
      <c r="BA79" s="75" t="s">
        <v>202</v>
      </c>
      <c r="BB79" t="s">
        <v>203</v>
      </c>
      <c r="BC79" s="75" t="s">
        <v>196</v>
      </c>
      <c r="BD79" s="78" t="s">
        <v>197</v>
      </c>
      <c r="BE79" s="75" t="s">
        <v>208</v>
      </c>
      <c r="BF79" s="75" t="s">
        <v>239</v>
      </c>
      <c r="BG79" s="75" t="s">
        <v>209</v>
      </c>
      <c r="BH79" s="75" t="s">
        <v>226</v>
      </c>
      <c r="BK79" s="71" t="s">
        <v>320</v>
      </c>
      <c r="BL79" s="71" t="str">
        <v/>
      </c>
    </row>
    <row r="80" spans="1:64" x14ac:dyDescent="0.25">
      <c r="A80" s="70">
        <v>3070296</v>
      </c>
      <c r="B80" s="71" t="s">
        <v>245</v>
      </c>
      <c r="C80" s="71">
        <v>39</v>
      </c>
      <c r="D80" s="72" t="s">
        <v>271</v>
      </c>
      <c r="E80" s="73" t="s">
        <v>108</v>
      </c>
      <c r="F80" s="74">
        <f t="shared" ref="F80:F115" si="6">IF(
OR(((ROUND((G80-E80)/30,0))=27),((ROUND((G80-E80)/30,0))=15)),
EDATE(G80,-6),
IF(
(ROUND((G80-E80)/30,0))=12,
EDATE(G80,-3),
IF(
(ROUND((G80-E80)/30,0))=9,
EDATE(G80,0),"CALCULAR")))</f>
        <v>46188</v>
      </c>
      <c r="G80" s="73" t="s">
        <v>109</v>
      </c>
      <c r="H80" s="73" t="s">
        <v>323</v>
      </c>
      <c r="I80" s="71" t="s">
        <v>323</v>
      </c>
      <c r="J80" s="71" t="s">
        <v>226</v>
      </c>
      <c r="M80" s="70" t="s">
        <v>324</v>
      </c>
      <c r="N80" s="71" t="s">
        <v>325</v>
      </c>
      <c r="O80" s="71" t="str">
        <f>VLOOKUP(A80,Hoja4!$A$2:$B$247,2,FALSE)</f>
        <v xml:space="preserve">FERNANDO GONZALEZ GARCIA </v>
      </c>
      <c r="P80" s="71" t="s">
        <v>231</v>
      </c>
      <c r="Q80" s="73" t="s">
        <v>274</v>
      </c>
      <c r="R80" s="71" t="s">
        <v>326</v>
      </c>
      <c r="U80" s="75"/>
      <c r="W80" s="75"/>
      <c r="Y80" s="75" t="s">
        <v>200</v>
      </c>
      <c r="Z80" s="71" t="s">
        <v>201</v>
      </c>
      <c r="AA80" s="71" t="s">
        <v>204</v>
      </c>
      <c r="AB80" s="71" t="s">
        <v>275</v>
      </c>
      <c r="AC80" s="75" t="s">
        <v>198</v>
      </c>
      <c r="AD80" s="71" t="s">
        <v>266</v>
      </c>
      <c r="AE80" s="71" t="s">
        <v>194</v>
      </c>
      <c r="AF80" s="71" t="s">
        <v>277</v>
      </c>
      <c r="AG80" s="71" t="s">
        <v>209</v>
      </c>
      <c r="AH80" s="76" t="s">
        <v>226</v>
      </c>
      <c r="AK80" s="71" t="s">
        <v>208</v>
      </c>
      <c r="AL80" s="75" t="s">
        <v>303</v>
      </c>
      <c r="AM80" s="71"/>
      <c r="AN80" s="71"/>
      <c r="AO80" s="71" t="s">
        <v>206</v>
      </c>
      <c r="AP80" s="71" t="s">
        <v>227</v>
      </c>
      <c r="AQ80" s="71"/>
      <c r="AS80" s="71"/>
      <c r="AT80" s="75" t="s">
        <v>218</v>
      </c>
      <c r="AV80" s="75" t="s">
        <v>218</v>
      </c>
      <c r="AW80" s="75" t="s">
        <v>202</v>
      </c>
      <c r="AX80" s="75" t="str">
        <f t="shared" si="5"/>
        <v>CHRISTIAN CAMILO RODRIGUEZ SALAS</v>
      </c>
      <c r="BA80" s="75" t="s">
        <v>196</v>
      </c>
      <c r="BB80" s="75" t="str">
        <f t="shared" ref="BB80:BB88" si="7">VLOOKUP(A80,_p8_2025,2,FALSE)</f>
        <v>CESAR AUGUSTO BERMEO</v>
      </c>
      <c r="BE80" s="75" t="s">
        <v>254</v>
      </c>
      <c r="BF80" s="75" t="s">
        <v>255</v>
      </c>
      <c r="BK80" s="71" t="s">
        <v>254</v>
      </c>
      <c r="BL80" s="71" t="str">
        <v/>
      </c>
    </row>
    <row r="81" spans="1:64" x14ac:dyDescent="0.25">
      <c r="A81" s="70">
        <v>3070313</v>
      </c>
      <c r="B81" s="71" t="s">
        <v>245</v>
      </c>
      <c r="C81" s="71">
        <v>33</v>
      </c>
      <c r="D81" s="72" t="s">
        <v>271</v>
      </c>
      <c r="E81" s="73" t="s">
        <v>108</v>
      </c>
      <c r="F81" s="74">
        <f t="shared" si="6"/>
        <v>46188</v>
      </c>
      <c r="G81" s="73" t="s">
        <v>109</v>
      </c>
      <c r="H81" s="73" t="s">
        <v>323</v>
      </c>
      <c r="I81" s="71" t="s">
        <v>323</v>
      </c>
      <c r="J81" s="71" t="s">
        <v>226</v>
      </c>
      <c r="M81" s="70" t="s">
        <v>324</v>
      </c>
      <c r="N81" s="71" t="s">
        <v>325</v>
      </c>
      <c r="O81" s="71" t="str">
        <f>VLOOKUP(A81,Hoja4!$A$2:$B$247,2,FALSE)</f>
        <v>JESUS ANTONIO FIGUEROA GUERRERO</v>
      </c>
      <c r="P81" s="71" t="s">
        <v>231</v>
      </c>
      <c r="Q81" s="73" t="s">
        <v>274</v>
      </c>
      <c r="R81" s="71" t="s">
        <v>326</v>
      </c>
      <c r="U81" s="75"/>
      <c r="W81" s="75"/>
      <c r="Y81" s="75" t="s">
        <v>200</v>
      </c>
      <c r="Z81" s="71" t="s">
        <v>286</v>
      </c>
      <c r="AA81" s="71" t="s">
        <v>204</v>
      </c>
      <c r="AB81" s="71" t="s">
        <v>269</v>
      </c>
      <c r="AC81" s="75" t="s">
        <v>198</v>
      </c>
      <c r="AD81" s="71" t="s">
        <v>199</v>
      </c>
      <c r="AE81" s="71" t="s">
        <v>194</v>
      </c>
      <c r="AF81" s="71" t="s">
        <v>277</v>
      </c>
      <c r="AG81" s="71" t="s">
        <v>209</v>
      </c>
      <c r="AH81" s="76" t="s">
        <v>236</v>
      </c>
      <c r="AK81" s="71" t="s">
        <v>208</v>
      </c>
      <c r="AL81" s="75" t="s">
        <v>303</v>
      </c>
      <c r="AM81" s="71"/>
      <c r="AN81" s="71"/>
      <c r="AO81" s="71" t="s">
        <v>206</v>
      </c>
      <c r="AP81" s="71" t="s">
        <v>227</v>
      </c>
      <c r="AQ81" s="71"/>
      <c r="AS81" s="71"/>
      <c r="AT81" s="75" t="s">
        <v>218</v>
      </c>
      <c r="AV81" s="75" t="s">
        <v>218</v>
      </c>
      <c r="AW81" s="75" t="s">
        <v>202</v>
      </c>
      <c r="AX81" s="75" t="str">
        <f t="shared" si="5"/>
        <v>MELISSA ANDREA LAITON GARNICA</v>
      </c>
      <c r="BA81" s="75" t="s">
        <v>196</v>
      </c>
      <c r="BB81" s="75" t="str">
        <f t="shared" si="7"/>
        <v>JORGE ARMANDO PIEDRAHITA</v>
      </c>
      <c r="BE81" s="75" t="s">
        <v>254</v>
      </c>
      <c r="BF81" s="75" t="s">
        <v>255</v>
      </c>
      <c r="BK81" s="71" t="s">
        <v>254</v>
      </c>
      <c r="BL81" s="71" t="str">
        <v/>
      </c>
    </row>
    <row r="82" spans="1:64" x14ac:dyDescent="0.25">
      <c r="A82" s="70">
        <v>3070314</v>
      </c>
      <c r="B82" s="71" t="s">
        <v>245</v>
      </c>
      <c r="C82" s="71">
        <v>35</v>
      </c>
      <c r="D82" s="72" t="s">
        <v>271</v>
      </c>
      <c r="E82" s="73" t="s">
        <v>108</v>
      </c>
      <c r="F82" s="74">
        <f t="shared" si="6"/>
        <v>46188</v>
      </c>
      <c r="G82" s="73" t="s">
        <v>109</v>
      </c>
      <c r="H82" s="73" t="s">
        <v>323</v>
      </c>
      <c r="I82" s="71" t="s">
        <v>323</v>
      </c>
      <c r="J82" s="71" t="s">
        <v>226</v>
      </c>
      <c r="M82" s="70" t="s">
        <v>324</v>
      </c>
      <c r="N82" s="71" t="s">
        <v>192</v>
      </c>
      <c r="O82" s="71" t="str">
        <f>VLOOKUP(A82,Hoja4!$A$2:$B$247,2,FALSE)</f>
        <v>JESUS ANTONIO FIGUEROA GUERRERO</v>
      </c>
      <c r="P82" s="71" t="s">
        <v>192</v>
      </c>
      <c r="Q82" s="73" t="s">
        <v>274</v>
      </c>
      <c r="R82" s="71" t="s">
        <v>326</v>
      </c>
      <c r="U82" s="75"/>
      <c r="W82" s="75"/>
      <c r="Y82" s="75" t="s">
        <v>200</v>
      </c>
      <c r="Z82" s="71" t="s">
        <v>220</v>
      </c>
      <c r="AA82" s="71" t="s">
        <v>204</v>
      </c>
      <c r="AB82" s="71" t="s">
        <v>258</v>
      </c>
      <c r="AC82" s="75" t="s">
        <v>198</v>
      </c>
      <c r="AD82" s="71" t="s">
        <v>199</v>
      </c>
      <c r="AE82" s="71" t="s">
        <v>194</v>
      </c>
      <c r="AF82" s="71" t="s">
        <v>277</v>
      </c>
      <c r="AG82" s="71" t="s">
        <v>202</v>
      </c>
      <c r="AH82" s="76" t="s">
        <v>203</v>
      </c>
      <c r="AK82" s="71" t="s">
        <v>209</v>
      </c>
      <c r="AL82" s="75" t="s">
        <v>228</v>
      </c>
      <c r="AM82" s="71"/>
      <c r="AN82" s="71"/>
      <c r="AO82" s="71" t="s">
        <v>206</v>
      </c>
      <c r="AP82" s="71" t="s">
        <v>207</v>
      </c>
      <c r="AQ82" s="71"/>
      <c r="AS82" s="71" t="s">
        <v>196</v>
      </c>
      <c r="AT82" s="75" t="s">
        <v>197</v>
      </c>
      <c r="AV82" s="75" t="s">
        <v>218</v>
      </c>
      <c r="AX82" s="75" t="str">
        <f t="shared" si="5"/>
        <v/>
      </c>
      <c r="BA82" s="75" t="s">
        <v>254</v>
      </c>
      <c r="BB82" s="75" t="str">
        <f t="shared" si="7"/>
        <v>CINDY YOHANA BOHORQUEZ GARZON</v>
      </c>
      <c r="BE82" s="75" t="s">
        <v>208</v>
      </c>
      <c r="BF82" s="75" t="s">
        <v>239</v>
      </c>
      <c r="BK82" s="71" t="s">
        <v>208</v>
      </c>
      <c r="BL82" s="71" t="str">
        <v/>
      </c>
    </row>
    <row r="83" spans="1:64" x14ac:dyDescent="0.25">
      <c r="A83" s="70">
        <v>3070315</v>
      </c>
      <c r="B83" s="71" t="s">
        <v>245</v>
      </c>
      <c r="C83" s="71">
        <v>38</v>
      </c>
      <c r="D83" s="72" t="s">
        <v>271</v>
      </c>
      <c r="E83" s="73" t="s">
        <v>108</v>
      </c>
      <c r="F83" s="74">
        <f t="shared" si="6"/>
        <v>46188</v>
      </c>
      <c r="G83" s="73" t="s">
        <v>109</v>
      </c>
      <c r="H83" s="73" t="s">
        <v>323</v>
      </c>
      <c r="I83" s="71" t="s">
        <v>323</v>
      </c>
      <c r="J83" s="71" t="s">
        <v>226</v>
      </c>
      <c r="M83" s="70" t="s">
        <v>324</v>
      </c>
      <c r="N83" s="71" t="s">
        <v>192</v>
      </c>
      <c r="O83" s="71" t="str">
        <f>VLOOKUP(A83,Hoja4!$A$2:$B$247,2,FALSE)</f>
        <v>JESUS ANTONIO FIGUEROA GUERRERO</v>
      </c>
      <c r="P83" s="71" t="s">
        <v>192</v>
      </c>
      <c r="Q83" s="73" t="s">
        <v>274</v>
      </c>
      <c r="R83" s="71" t="s">
        <v>326</v>
      </c>
      <c r="U83" s="75"/>
      <c r="W83" s="75"/>
      <c r="Y83" s="75" t="s">
        <v>200</v>
      </c>
      <c r="Z83" s="71" t="s">
        <v>286</v>
      </c>
      <c r="AA83" s="71" t="s">
        <v>204</v>
      </c>
      <c r="AB83" s="71" t="s">
        <v>275</v>
      </c>
      <c r="AC83" s="75"/>
      <c r="AE83" s="71" t="s">
        <v>194</v>
      </c>
      <c r="AF83" s="71" t="s">
        <v>277</v>
      </c>
      <c r="AG83" s="71" t="s">
        <v>202</v>
      </c>
      <c r="AH83" s="76" t="s">
        <v>203</v>
      </c>
      <c r="AK83" s="71" t="s">
        <v>209</v>
      </c>
      <c r="AL83" s="75" t="s">
        <v>236</v>
      </c>
      <c r="AM83" s="71"/>
      <c r="AN83" s="71"/>
      <c r="AO83" s="71"/>
      <c r="AP83" s="71"/>
      <c r="AQ83" s="71"/>
      <c r="AS83" s="71" t="s">
        <v>198</v>
      </c>
      <c r="AT83" s="75" t="s">
        <v>299</v>
      </c>
      <c r="AV83" s="75" t="s">
        <v>218</v>
      </c>
      <c r="AW83" s="75" t="s">
        <v>208</v>
      </c>
      <c r="AX83" s="75" t="str">
        <f t="shared" si="5"/>
        <v>MARIA CAROLINA GOMEZ CALLE</v>
      </c>
      <c r="BA83" s="75" t="s">
        <v>206</v>
      </c>
      <c r="BB83" s="75" t="str">
        <f t="shared" si="7"/>
        <v>JORGE IVAN PEREZ GAITAN</v>
      </c>
      <c r="BE83" s="75" t="s">
        <v>196</v>
      </c>
      <c r="BF83" s="75" t="s">
        <v>219</v>
      </c>
      <c r="BK83" s="71" t="s">
        <v>327</v>
      </c>
      <c r="BL83" s="71" t="str">
        <v>INV</v>
      </c>
    </row>
    <row r="84" spans="1:64" x14ac:dyDescent="0.25">
      <c r="A84" s="70">
        <v>3070316</v>
      </c>
      <c r="B84" s="71" t="s">
        <v>245</v>
      </c>
      <c r="C84" s="71">
        <v>35</v>
      </c>
      <c r="D84" s="72" t="s">
        <v>271</v>
      </c>
      <c r="E84" s="73" t="s">
        <v>108</v>
      </c>
      <c r="F84" s="74">
        <f t="shared" si="6"/>
        <v>46188</v>
      </c>
      <c r="G84" s="73" t="s">
        <v>109</v>
      </c>
      <c r="H84" s="73" t="s">
        <v>323</v>
      </c>
      <c r="I84" s="71" t="s">
        <v>323</v>
      </c>
      <c r="J84" s="71" t="s">
        <v>226</v>
      </c>
      <c r="M84" s="70" t="s">
        <v>328</v>
      </c>
      <c r="N84" s="71" t="s">
        <v>329</v>
      </c>
      <c r="O84" s="71" t="str">
        <f>VLOOKUP(A84,Hoja4!$A$2:$B$247,2,FALSE)</f>
        <v>CAMILO ERNESTO PARRA LOPEZ</v>
      </c>
      <c r="P84" s="71" t="s">
        <v>329</v>
      </c>
      <c r="Q84" s="73" t="s">
        <v>274</v>
      </c>
      <c r="R84" s="71" t="s">
        <v>326</v>
      </c>
      <c r="U84" s="75"/>
      <c r="W84" s="75"/>
      <c r="Y84" s="75" t="s">
        <v>200</v>
      </c>
      <c r="Z84" s="71" t="s">
        <v>220</v>
      </c>
      <c r="AA84" s="71" t="s">
        <v>204</v>
      </c>
      <c r="AB84" s="71" t="s">
        <v>269</v>
      </c>
      <c r="AC84" s="75"/>
      <c r="AE84" s="71" t="s">
        <v>194</v>
      </c>
      <c r="AF84" s="71" t="s">
        <v>277</v>
      </c>
      <c r="AG84" s="71" t="s">
        <v>202</v>
      </c>
      <c r="AH84" s="76" t="s">
        <v>203</v>
      </c>
      <c r="AK84" s="71" t="s">
        <v>209</v>
      </c>
      <c r="AL84" s="75" t="s">
        <v>228</v>
      </c>
      <c r="AM84" s="71"/>
      <c r="AN84" s="71"/>
      <c r="AO84" s="71"/>
      <c r="AP84" s="71"/>
      <c r="AQ84" s="71"/>
      <c r="AS84" s="71" t="s">
        <v>198</v>
      </c>
      <c r="AT84" s="75" t="s">
        <v>199</v>
      </c>
      <c r="AV84" s="75" t="s">
        <v>218</v>
      </c>
      <c r="AW84" s="75" t="s">
        <v>208</v>
      </c>
      <c r="AX84" s="75" t="str">
        <f t="shared" si="5"/>
        <v>LAURA STHEPHANIA SANCHEZ PABON</v>
      </c>
      <c r="BA84" s="75" t="s">
        <v>206</v>
      </c>
      <c r="BB84" s="75" t="str">
        <f t="shared" si="7"/>
        <v>JORGE IVAN PEREZ GAITAN</v>
      </c>
      <c r="BE84" s="75" t="s">
        <v>196</v>
      </c>
      <c r="BF84" s="75" t="s">
        <v>219</v>
      </c>
      <c r="BK84" s="71" t="s">
        <v>327</v>
      </c>
      <c r="BL84" s="71" t="str">
        <v>INV</v>
      </c>
    </row>
    <row r="85" spans="1:64" x14ac:dyDescent="0.25">
      <c r="A85" s="70">
        <v>3070317</v>
      </c>
      <c r="B85" s="71" t="s">
        <v>245</v>
      </c>
      <c r="C85" s="71">
        <v>36</v>
      </c>
      <c r="D85" s="72" t="s">
        <v>271</v>
      </c>
      <c r="E85" s="73" t="s">
        <v>108</v>
      </c>
      <c r="F85" s="74">
        <f t="shared" si="6"/>
        <v>46188</v>
      </c>
      <c r="G85" s="73" t="s">
        <v>109</v>
      </c>
      <c r="H85" s="73" t="s">
        <v>272</v>
      </c>
      <c r="I85" s="71" t="s">
        <v>272</v>
      </c>
      <c r="J85" s="71" t="s">
        <v>226</v>
      </c>
      <c r="M85" s="70" t="s">
        <v>328</v>
      </c>
      <c r="N85" s="71" t="s">
        <v>330</v>
      </c>
      <c r="O85" s="71" t="str">
        <f>VLOOKUP(A85,Hoja4!$A$2:$B$247,2,FALSE)</f>
        <v>CAMILO ERNESTO PARRA LOPEZ</v>
      </c>
      <c r="P85" s="71" t="s">
        <v>329</v>
      </c>
      <c r="Q85" s="73" t="s">
        <v>274</v>
      </c>
      <c r="R85" s="71" t="s">
        <v>326</v>
      </c>
      <c r="U85" s="75"/>
      <c r="W85" s="75"/>
      <c r="Y85" s="75" t="s">
        <v>200</v>
      </c>
      <c r="Z85" s="71" t="s">
        <v>201</v>
      </c>
      <c r="AA85" s="71" t="s">
        <v>204</v>
      </c>
      <c r="AB85" s="71" t="s">
        <v>258</v>
      </c>
      <c r="AC85" s="75"/>
      <c r="AE85" s="71" t="s">
        <v>194</v>
      </c>
      <c r="AF85" s="71" t="s">
        <v>277</v>
      </c>
      <c r="AG85" s="71" t="s">
        <v>202</v>
      </c>
      <c r="AH85" s="76" t="s">
        <v>203</v>
      </c>
      <c r="AK85" s="71" t="s">
        <v>209</v>
      </c>
      <c r="AL85" s="75" t="s">
        <v>226</v>
      </c>
      <c r="AM85" s="71"/>
      <c r="AN85" s="71"/>
      <c r="AO85" s="71"/>
      <c r="AP85" s="71"/>
      <c r="AQ85" s="71"/>
      <c r="AS85" s="71" t="s">
        <v>198</v>
      </c>
      <c r="AT85" s="75" t="s">
        <v>299</v>
      </c>
      <c r="AV85" s="75" t="s">
        <v>218</v>
      </c>
      <c r="AW85" s="75" t="s">
        <v>208</v>
      </c>
      <c r="AX85" s="75" t="str">
        <f t="shared" si="5"/>
        <v>HECTOR ANDRES CIPAMOCHA CENTENO</v>
      </c>
      <c r="BA85" s="75" t="s">
        <v>206</v>
      </c>
      <c r="BB85" s="75" t="str">
        <f t="shared" si="7"/>
        <v>DEISY JULIETH GARCIA CASTAÑEDA</v>
      </c>
      <c r="BE85" s="75" t="s">
        <v>196</v>
      </c>
      <c r="BF85" s="75" t="s">
        <v>219</v>
      </c>
      <c r="BK85" s="71" t="s">
        <v>327</v>
      </c>
      <c r="BL85" s="71" t="str">
        <v>INV</v>
      </c>
    </row>
    <row r="86" spans="1:64" x14ac:dyDescent="0.25">
      <c r="A86" s="70">
        <v>3070318</v>
      </c>
      <c r="B86" s="71" t="s">
        <v>245</v>
      </c>
      <c r="C86" s="71">
        <v>36</v>
      </c>
      <c r="D86" s="72" t="s">
        <v>271</v>
      </c>
      <c r="E86" s="73" t="s">
        <v>108</v>
      </c>
      <c r="F86" s="74">
        <f t="shared" si="6"/>
        <v>46188</v>
      </c>
      <c r="G86" s="73" t="s">
        <v>109</v>
      </c>
      <c r="H86" s="73" t="s">
        <v>272</v>
      </c>
      <c r="I86" s="71" t="s">
        <v>272</v>
      </c>
      <c r="J86" s="71" t="s">
        <v>226</v>
      </c>
      <c r="M86" s="70" t="s">
        <v>328</v>
      </c>
      <c r="N86" s="71" t="s">
        <v>223</v>
      </c>
      <c r="O86" s="71" t="str">
        <f>VLOOKUP(A86,Hoja4!$A$2:$B$247,2,FALSE)</f>
        <v>CAMILO ERNESTO PARRA LOPEZ</v>
      </c>
      <c r="P86" s="71" t="s">
        <v>223</v>
      </c>
      <c r="Q86" s="73" t="s">
        <v>274</v>
      </c>
      <c r="R86" s="71" t="s">
        <v>326</v>
      </c>
      <c r="U86" s="75"/>
      <c r="W86" s="75"/>
      <c r="Y86" s="75" t="s">
        <v>200</v>
      </c>
      <c r="Z86" s="71" t="s">
        <v>220</v>
      </c>
      <c r="AA86" s="71" t="s">
        <v>204</v>
      </c>
      <c r="AB86" s="71" t="s">
        <v>269</v>
      </c>
      <c r="AC86" s="75" t="s">
        <v>206</v>
      </c>
      <c r="AD86" s="71" t="s">
        <v>227</v>
      </c>
      <c r="AE86" s="71" t="s">
        <v>198</v>
      </c>
      <c r="AF86" s="71" t="s">
        <v>266</v>
      </c>
      <c r="AG86" s="71" t="s">
        <v>202</v>
      </c>
      <c r="AH86" s="76" t="s">
        <v>216</v>
      </c>
      <c r="AK86" s="71" t="s">
        <v>208</v>
      </c>
      <c r="AL86" s="75" t="s">
        <v>278</v>
      </c>
      <c r="AM86" s="71"/>
      <c r="AN86" s="71"/>
      <c r="AO86" s="71" t="s">
        <v>209</v>
      </c>
      <c r="AP86" s="71" t="s">
        <v>228</v>
      </c>
      <c r="AQ86" s="71"/>
      <c r="AS86" s="71" t="s">
        <v>194</v>
      </c>
      <c r="AT86" s="75" t="s">
        <v>195</v>
      </c>
      <c r="AV86" s="75" t="s">
        <v>218</v>
      </c>
      <c r="AX86" s="75" t="str">
        <f t="shared" si="5"/>
        <v/>
      </c>
      <c r="BA86" s="75" t="s">
        <v>196</v>
      </c>
      <c r="BB86" s="75" t="str">
        <f t="shared" si="7"/>
        <v>CESAR AUGUSTO BERMEO</v>
      </c>
      <c r="BE86" s="75" t="s">
        <v>254</v>
      </c>
      <c r="BF86" s="75" t="s">
        <v>255</v>
      </c>
      <c r="BK86" s="71" t="s">
        <v>254</v>
      </c>
      <c r="BL86" s="71" t="str">
        <v/>
      </c>
    </row>
    <row r="87" spans="1:64" x14ac:dyDescent="0.25">
      <c r="A87" s="70">
        <v>3070319</v>
      </c>
      <c r="B87" s="71" t="s">
        <v>245</v>
      </c>
      <c r="C87" s="71">
        <v>35</v>
      </c>
      <c r="D87" s="72" t="s">
        <v>271</v>
      </c>
      <c r="E87" s="73" t="s">
        <v>108</v>
      </c>
      <c r="F87" s="74">
        <f t="shared" si="6"/>
        <v>46188</v>
      </c>
      <c r="G87" s="73" t="s">
        <v>109</v>
      </c>
      <c r="H87" s="73" t="s">
        <v>272</v>
      </c>
      <c r="I87" s="71" t="s">
        <v>272</v>
      </c>
      <c r="J87" s="71" t="s">
        <v>226</v>
      </c>
      <c r="M87" s="70" t="s">
        <v>328</v>
      </c>
      <c r="N87" s="71" t="s">
        <v>223</v>
      </c>
      <c r="O87" s="71" t="str">
        <f>VLOOKUP(A87,Hoja4!$A$2:$B$247,2,FALSE)</f>
        <v>CAMILO ERNESTO PARRA LOPEZ</v>
      </c>
      <c r="P87" s="71" t="s">
        <v>223</v>
      </c>
      <c r="Q87" s="73" t="s">
        <v>274</v>
      </c>
      <c r="R87" s="71" t="s">
        <v>326</v>
      </c>
      <c r="U87" s="75"/>
      <c r="W87" s="75"/>
      <c r="Y87" s="75" t="s">
        <v>200</v>
      </c>
      <c r="Z87" s="71" t="s">
        <v>286</v>
      </c>
      <c r="AA87" s="71" t="s">
        <v>204</v>
      </c>
      <c r="AB87" s="71" t="s">
        <v>217</v>
      </c>
      <c r="AC87" s="75"/>
      <c r="AE87" s="71" t="s">
        <v>198</v>
      </c>
      <c r="AF87" s="71" t="s">
        <v>266</v>
      </c>
      <c r="AG87" s="71" t="s">
        <v>202</v>
      </c>
      <c r="AH87" s="76" t="s">
        <v>216</v>
      </c>
      <c r="AK87" s="71" t="s">
        <v>209</v>
      </c>
      <c r="AL87" s="75" t="s">
        <v>228</v>
      </c>
      <c r="AM87" s="71"/>
      <c r="AN87" s="71"/>
      <c r="AO87" s="71"/>
      <c r="AP87" s="71"/>
      <c r="AQ87" s="71"/>
      <c r="AS87" s="71" t="s">
        <v>208</v>
      </c>
      <c r="AT87" s="75" t="s">
        <v>278</v>
      </c>
      <c r="AV87" s="75" t="s">
        <v>218</v>
      </c>
      <c r="AW87" s="75" t="s">
        <v>194</v>
      </c>
      <c r="AX87" s="75" t="str">
        <f t="shared" si="5"/>
        <v>CAMILO ERNESTO CALDERON GALINDO</v>
      </c>
      <c r="BA87" s="75" t="s">
        <v>206</v>
      </c>
      <c r="BB87" s="75" t="str">
        <f t="shared" si="7"/>
        <v>MARINELLA DIAZ ACOSTA</v>
      </c>
      <c r="BE87" s="75" t="s">
        <v>254</v>
      </c>
      <c r="BF87" s="75" t="s">
        <v>255</v>
      </c>
      <c r="BK87" s="71" t="s">
        <v>327</v>
      </c>
      <c r="BL87" s="71" t="str">
        <v>COM</v>
      </c>
    </row>
    <row r="88" spans="1:64" x14ac:dyDescent="0.25">
      <c r="A88" s="70">
        <v>3070320</v>
      </c>
      <c r="B88" s="71" t="s">
        <v>245</v>
      </c>
      <c r="C88" s="71">
        <v>35</v>
      </c>
      <c r="D88" s="72" t="s">
        <v>271</v>
      </c>
      <c r="E88" s="73" t="s">
        <v>108</v>
      </c>
      <c r="F88" s="74">
        <f t="shared" si="6"/>
        <v>46188</v>
      </c>
      <c r="G88" s="73" t="s">
        <v>109</v>
      </c>
      <c r="H88" s="73" t="s">
        <v>272</v>
      </c>
      <c r="I88" s="71" t="s">
        <v>272</v>
      </c>
      <c r="J88" s="71" t="s">
        <v>226</v>
      </c>
      <c r="M88" s="70" t="s">
        <v>328</v>
      </c>
      <c r="N88" s="71" t="s">
        <v>331</v>
      </c>
      <c r="O88" s="71" t="str">
        <f>VLOOKUP(A88,Hoja4!$A$2:$B$247,2,FALSE)</f>
        <v>FERNANDO FORERO GOMEZ</v>
      </c>
      <c r="P88" s="71" t="s">
        <v>233</v>
      </c>
      <c r="Q88" s="73" t="s">
        <v>274</v>
      </c>
      <c r="R88" s="71" t="s">
        <v>326</v>
      </c>
      <c r="U88" s="75"/>
      <c r="W88" s="75"/>
      <c r="Y88" s="75" t="s">
        <v>200</v>
      </c>
      <c r="Z88" s="71" t="s">
        <v>220</v>
      </c>
      <c r="AA88" s="71" t="s">
        <v>204</v>
      </c>
      <c r="AB88" s="71" t="s">
        <v>217</v>
      </c>
      <c r="AC88" s="75"/>
      <c r="AE88" s="71" t="s">
        <v>198</v>
      </c>
      <c r="AF88" s="71" t="s">
        <v>199</v>
      </c>
      <c r="AG88" s="71" t="s">
        <v>202</v>
      </c>
      <c r="AH88" s="76" t="s">
        <v>203</v>
      </c>
      <c r="AK88" s="71" t="s">
        <v>209</v>
      </c>
      <c r="AL88" s="75" t="s">
        <v>332</v>
      </c>
      <c r="AM88" s="71"/>
      <c r="AN88" s="71"/>
      <c r="AO88" s="71"/>
      <c r="AP88" s="71"/>
      <c r="AQ88" s="71"/>
      <c r="AS88" s="71" t="s">
        <v>208</v>
      </c>
      <c r="AT88" s="75" t="s">
        <v>278</v>
      </c>
      <c r="AV88" s="75" t="s">
        <v>218</v>
      </c>
      <c r="AW88" s="75" t="s">
        <v>194</v>
      </c>
      <c r="AX88" s="75" t="str">
        <f t="shared" si="5"/>
        <v>CAMILO ERNESTO CALDERON GALINDO</v>
      </c>
      <c r="BA88" s="75" t="s">
        <v>206</v>
      </c>
      <c r="BB88" s="75" t="str">
        <f t="shared" si="7"/>
        <v>JORGE IVAN PEREZ GAITAN</v>
      </c>
      <c r="BE88" s="75" t="s">
        <v>196</v>
      </c>
      <c r="BF88" s="75" t="s">
        <v>219</v>
      </c>
      <c r="BK88" s="71" t="s">
        <v>327</v>
      </c>
      <c r="BL88" s="71" t="str">
        <v>INV</v>
      </c>
    </row>
    <row r="89" spans="1:64" x14ac:dyDescent="0.25">
      <c r="A89" s="70">
        <v>3070321</v>
      </c>
      <c r="B89" s="71" t="s">
        <v>245</v>
      </c>
      <c r="C89" s="71">
        <v>31</v>
      </c>
      <c r="D89" s="72" t="s">
        <v>271</v>
      </c>
      <c r="E89" s="73" t="s">
        <v>108</v>
      </c>
      <c r="F89" s="74">
        <f t="shared" si="6"/>
        <v>46188</v>
      </c>
      <c r="G89" s="73" t="s">
        <v>109</v>
      </c>
      <c r="H89" s="73" t="s">
        <v>272</v>
      </c>
      <c r="I89" s="71" t="s">
        <v>272</v>
      </c>
      <c r="J89" s="71" t="s">
        <v>226</v>
      </c>
      <c r="M89" s="70" t="s">
        <v>328</v>
      </c>
      <c r="N89" s="71" t="s">
        <v>331</v>
      </c>
      <c r="O89" s="71" t="str">
        <f>VLOOKUP(A89,Hoja4!$A$2:$B$247,2,FALSE)</f>
        <v>FERNANDO FORERO GOMEZ</v>
      </c>
      <c r="P89" s="71" t="s">
        <v>233</v>
      </c>
      <c r="Q89" s="73" t="s">
        <v>274</v>
      </c>
      <c r="R89" s="71" t="s">
        <v>326</v>
      </c>
      <c r="U89" s="75"/>
      <c r="W89" s="75"/>
      <c r="Y89" s="75" t="s">
        <v>200</v>
      </c>
      <c r="Z89" s="71" t="s">
        <v>201</v>
      </c>
      <c r="AA89" s="71" t="s">
        <v>204</v>
      </c>
      <c r="AB89" s="71" t="s">
        <v>221</v>
      </c>
      <c r="AC89" s="75"/>
      <c r="AE89" s="71" t="s">
        <v>198</v>
      </c>
      <c r="AF89" s="71" t="s">
        <v>199</v>
      </c>
      <c r="AG89" s="71" t="s">
        <v>202</v>
      </c>
      <c r="AH89" s="76" t="s">
        <v>203</v>
      </c>
      <c r="AK89" s="71" t="s">
        <v>209</v>
      </c>
      <c r="AL89" s="75" t="s">
        <v>332</v>
      </c>
      <c r="AM89" s="71"/>
      <c r="AN89" s="71"/>
      <c r="AO89" s="71"/>
      <c r="AP89" s="71"/>
      <c r="AQ89" s="71"/>
      <c r="AS89" s="71" t="s">
        <v>208</v>
      </c>
      <c r="AT89" s="75" t="s">
        <v>239</v>
      </c>
      <c r="AV89" s="75" t="s">
        <v>218</v>
      </c>
      <c r="AW89" s="75" t="s">
        <v>194</v>
      </c>
      <c r="AX89" s="75" t="str">
        <f t="shared" si="5"/>
        <v>CAMILO ERNESTO CALDERON GALINDO</v>
      </c>
      <c r="BE89" s="75" t="s">
        <v>196</v>
      </c>
      <c r="BF89" s="75" t="s">
        <v>219</v>
      </c>
      <c r="BG89" s="75" t="s">
        <v>206</v>
      </c>
      <c r="BH89" s="75" t="s">
        <v>227</v>
      </c>
      <c r="BK89" s="71" t="s">
        <v>333</v>
      </c>
      <c r="BL89" s="71" t="str">
        <v>INV</v>
      </c>
    </row>
    <row r="90" spans="1:64" x14ac:dyDescent="0.25">
      <c r="A90" s="70">
        <v>3070322</v>
      </c>
      <c r="B90" s="71" t="s">
        <v>245</v>
      </c>
      <c r="C90" s="71">
        <v>39</v>
      </c>
      <c r="D90" s="72" t="s">
        <v>271</v>
      </c>
      <c r="E90" s="73" t="s">
        <v>108</v>
      </c>
      <c r="F90" s="74">
        <f t="shared" si="6"/>
        <v>46188</v>
      </c>
      <c r="G90" s="73" t="s">
        <v>109</v>
      </c>
      <c r="H90" s="73" t="s">
        <v>334</v>
      </c>
      <c r="I90" s="71" t="s">
        <v>334</v>
      </c>
      <c r="J90" s="71" t="s">
        <v>226</v>
      </c>
      <c r="M90" s="70" t="s">
        <v>334</v>
      </c>
      <c r="N90" s="71" t="s">
        <v>335</v>
      </c>
      <c r="O90" s="71" t="str">
        <f>VLOOKUP(A90,Hoja4!$A$2:$B$247,2,FALSE)</f>
        <v>FRANCISCO ARNALDO VARGAS BERMUDEZ</v>
      </c>
      <c r="P90" s="71" t="s">
        <v>300</v>
      </c>
      <c r="Q90" s="73" t="s">
        <v>274</v>
      </c>
      <c r="R90" s="71" t="s">
        <v>326</v>
      </c>
      <c r="U90" s="75"/>
      <c r="W90" s="75"/>
      <c r="Y90" s="75" t="s">
        <v>200</v>
      </c>
      <c r="Z90" s="71" t="s">
        <v>220</v>
      </c>
      <c r="AA90" s="71" t="s">
        <v>204</v>
      </c>
      <c r="AB90" s="71" t="s">
        <v>258</v>
      </c>
      <c r="AC90" s="75"/>
      <c r="AE90" s="71" t="s">
        <v>198</v>
      </c>
      <c r="AF90" s="71" t="s">
        <v>199</v>
      </c>
      <c r="AG90" s="71" t="s">
        <v>202</v>
      </c>
      <c r="AH90" s="76" t="s">
        <v>203</v>
      </c>
      <c r="AK90" s="71" t="s">
        <v>209</v>
      </c>
      <c r="AL90" s="75" t="s">
        <v>228</v>
      </c>
      <c r="AM90" s="71"/>
      <c r="AN90" s="71"/>
      <c r="AO90" s="71"/>
      <c r="AP90" s="71"/>
      <c r="AQ90" s="71"/>
      <c r="AS90" s="71" t="s">
        <v>208</v>
      </c>
      <c r="AT90" s="75" t="s">
        <v>235</v>
      </c>
      <c r="AV90" s="75" t="s">
        <v>218</v>
      </c>
      <c r="AW90" s="75" t="s">
        <v>194</v>
      </c>
      <c r="AX90" s="75" t="str">
        <f t="shared" si="5"/>
        <v>CAMILO ERNESTO CALDERON GALINDO</v>
      </c>
      <c r="BE90" s="75" t="s">
        <v>196</v>
      </c>
      <c r="BF90" s="80" t="s">
        <v>219</v>
      </c>
      <c r="BK90" s="71" t="s">
        <v>336</v>
      </c>
      <c r="BL90" s="71" t="str">
        <v>INV SST</v>
      </c>
    </row>
    <row r="91" spans="1:64" x14ac:dyDescent="0.25">
      <c r="A91" s="70">
        <v>3070323</v>
      </c>
      <c r="B91" s="71" t="s">
        <v>245</v>
      </c>
      <c r="C91" s="71">
        <v>37</v>
      </c>
      <c r="D91" s="72" t="s">
        <v>271</v>
      </c>
      <c r="E91" s="73" t="s">
        <v>108</v>
      </c>
      <c r="F91" s="74">
        <f t="shared" si="6"/>
        <v>46188</v>
      </c>
      <c r="G91" s="73" t="s">
        <v>109</v>
      </c>
      <c r="H91" s="73" t="s">
        <v>334</v>
      </c>
      <c r="I91" s="71" t="s">
        <v>334</v>
      </c>
      <c r="J91" s="71" t="s">
        <v>226</v>
      </c>
      <c r="M91" s="70" t="s">
        <v>334</v>
      </c>
      <c r="N91" s="71" t="s">
        <v>335</v>
      </c>
      <c r="O91" s="71" t="str">
        <f>VLOOKUP(A91,Hoja4!$A$2:$B$247,2,FALSE)</f>
        <v>FRANCISCO ARNALDO VARGAS BERMUDEZ</v>
      </c>
      <c r="P91" s="71" t="s">
        <v>300</v>
      </c>
      <c r="Q91" s="73" t="s">
        <v>274</v>
      </c>
      <c r="R91" s="71" t="s">
        <v>326</v>
      </c>
      <c r="U91" s="75"/>
      <c r="W91" s="75"/>
      <c r="Y91" s="75" t="s">
        <v>200</v>
      </c>
      <c r="Z91" s="71" t="s">
        <v>201</v>
      </c>
      <c r="AA91" s="71" t="s">
        <v>204</v>
      </c>
      <c r="AB91" s="71" t="s">
        <v>269</v>
      </c>
      <c r="AC91" s="75"/>
      <c r="AE91" s="71" t="s">
        <v>198</v>
      </c>
      <c r="AF91" s="71" t="s">
        <v>266</v>
      </c>
      <c r="AG91" s="71" t="s">
        <v>202</v>
      </c>
      <c r="AH91" s="76" t="s">
        <v>203</v>
      </c>
      <c r="AK91" s="71" t="s">
        <v>209</v>
      </c>
      <c r="AL91" s="75" t="s">
        <v>228</v>
      </c>
      <c r="AM91" s="71"/>
      <c r="AN91" s="71"/>
      <c r="AO91" s="71"/>
      <c r="AP91" s="71"/>
      <c r="AQ91" s="71"/>
      <c r="AS91" s="71" t="s">
        <v>208</v>
      </c>
      <c r="AT91" s="75" t="s">
        <v>278</v>
      </c>
      <c r="AV91" s="75" t="s">
        <v>218</v>
      </c>
      <c r="AW91" s="75" t="s">
        <v>206</v>
      </c>
      <c r="AX91" s="75" t="str">
        <f t="shared" si="5"/>
        <v>MARINELLA DIAZ ACOSTA</v>
      </c>
      <c r="BA91" s="75" t="s">
        <v>194</v>
      </c>
      <c r="BB91" s="75" t="str">
        <f t="shared" ref="BB91:BB108" si="8">VLOOKUP(A91,_p8_2025,2,FALSE)</f>
        <v>CAMILO ERNESTO CALDERON GALINDO</v>
      </c>
      <c r="BE91" s="75" t="s">
        <v>196</v>
      </c>
      <c r="BF91" s="80" t="s">
        <v>334</v>
      </c>
      <c r="BG91" s="75" t="s">
        <v>254</v>
      </c>
      <c r="BH91" s="75" t="s">
        <v>255</v>
      </c>
      <c r="BI91" s="75" t="s">
        <v>206</v>
      </c>
      <c r="BJ91" s="75" t="s">
        <v>213</v>
      </c>
      <c r="BK91" s="71" t="s">
        <v>336</v>
      </c>
      <c r="BL91" s="71" t="str">
        <v>SST</v>
      </c>
    </row>
    <row r="92" spans="1:64" x14ac:dyDescent="0.25">
      <c r="A92" s="70">
        <v>3070324</v>
      </c>
      <c r="B92" s="71" t="s">
        <v>245</v>
      </c>
      <c r="C92" s="71">
        <v>34</v>
      </c>
      <c r="D92" s="72" t="s">
        <v>271</v>
      </c>
      <c r="E92" s="73" t="s">
        <v>108</v>
      </c>
      <c r="F92" s="74">
        <f t="shared" si="6"/>
        <v>46188</v>
      </c>
      <c r="G92" s="73" t="s">
        <v>109</v>
      </c>
      <c r="H92" s="73" t="s">
        <v>334</v>
      </c>
      <c r="I92" s="71" t="s">
        <v>334</v>
      </c>
      <c r="J92" s="71" t="s">
        <v>226</v>
      </c>
      <c r="M92" s="70" t="s">
        <v>334</v>
      </c>
      <c r="N92" s="71" t="s">
        <v>337</v>
      </c>
      <c r="O92" s="71" t="str">
        <f>VLOOKUP(A92,Hoja4!$A$2:$B$247,2,FALSE)</f>
        <v>FRANCISCO ARNALDO VARGAS BERMUDEZ</v>
      </c>
      <c r="P92" s="71" t="s">
        <v>233</v>
      </c>
      <c r="Q92" s="73" t="s">
        <v>274</v>
      </c>
      <c r="R92" s="71" t="s">
        <v>326</v>
      </c>
      <c r="U92" s="75"/>
      <c r="W92" s="75"/>
      <c r="Y92" s="75" t="s">
        <v>200</v>
      </c>
      <c r="Z92" s="71" t="s">
        <v>201</v>
      </c>
      <c r="AA92" s="71" t="s">
        <v>204</v>
      </c>
      <c r="AB92" s="71" t="s">
        <v>217</v>
      </c>
      <c r="AC92" s="75"/>
      <c r="AE92" s="71" t="s">
        <v>198</v>
      </c>
      <c r="AF92" s="71" t="s">
        <v>266</v>
      </c>
      <c r="AG92" s="71" t="s">
        <v>202</v>
      </c>
      <c r="AH92" s="76" t="s">
        <v>216</v>
      </c>
      <c r="AK92" s="71" t="s">
        <v>209</v>
      </c>
      <c r="AL92" s="75" t="s">
        <v>332</v>
      </c>
      <c r="AM92" s="71"/>
      <c r="AN92" s="71"/>
      <c r="AO92" s="71"/>
      <c r="AP92" s="71"/>
      <c r="AQ92" s="71"/>
      <c r="AS92" s="71" t="s">
        <v>208</v>
      </c>
      <c r="AT92" s="75" t="s">
        <v>239</v>
      </c>
      <c r="AV92" s="75" t="s">
        <v>218</v>
      </c>
      <c r="AW92" s="75" t="s">
        <v>206</v>
      </c>
      <c r="AX92" s="75" t="str">
        <f t="shared" si="5"/>
        <v>MARINELLA DIAZ ACOSTA</v>
      </c>
      <c r="BA92" s="75" t="s">
        <v>194</v>
      </c>
      <c r="BB92" s="75" t="str">
        <f t="shared" si="8"/>
        <v>CAMILO ERNESTO CALDERON GALINDO</v>
      </c>
      <c r="BE92" s="75" t="s">
        <v>196</v>
      </c>
      <c r="BF92" s="80" t="s">
        <v>334</v>
      </c>
      <c r="BG92" s="75" t="s">
        <v>254</v>
      </c>
      <c r="BH92" s="75" t="s">
        <v>255</v>
      </c>
      <c r="BI92" s="75" t="s">
        <v>204</v>
      </c>
      <c r="BJ92" s="75" t="s">
        <v>221</v>
      </c>
      <c r="BK92" s="71" t="s">
        <v>338</v>
      </c>
      <c r="BL92" s="71" t="str">
        <v>MAT FIS CUL ETI SST DER</v>
      </c>
    </row>
    <row r="93" spans="1:64" x14ac:dyDescent="0.25">
      <c r="A93" s="70">
        <v>3070325</v>
      </c>
      <c r="B93" s="71" t="s">
        <v>245</v>
      </c>
      <c r="C93" s="71">
        <v>34</v>
      </c>
      <c r="D93" s="72" t="s">
        <v>271</v>
      </c>
      <c r="E93" s="73" t="s">
        <v>108</v>
      </c>
      <c r="F93" s="74">
        <f t="shared" si="6"/>
        <v>46188</v>
      </c>
      <c r="G93" s="73" t="s">
        <v>109</v>
      </c>
      <c r="H93" s="73" t="s">
        <v>334</v>
      </c>
      <c r="I93" s="71" t="s">
        <v>334</v>
      </c>
      <c r="J93" s="71" t="s">
        <v>226</v>
      </c>
      <c r="M93" s="70" t="s">
        <v>334</v>
      </c>
      <c r="N93" s="71" t="s">
        <v>337</v>
      </c>
      <c r="O93" s="71" t="str">
        <f>VLOOKUP(A93,Hoja4!$A$2:$B$247,2,FALSE)</f>
        <v>FRANCISCO ARNALDO VARGAS BERMUDEZ</v>
      </c>
      <c r="P93" s="71" t="s">
        <v>233</v>
      </c>
      <c r="Q93" s="73" t="s">
        <v>274</v>
      </c>
      <c r="R93" s="71" t="s">
        <v>326</v>
      </c>
      <c r="U93" s="75"/>
      <c r="W93" s="75"/>
      <c r="Y93" s="75" t="s">
        <v>200</v>
      </c>
      <c r="Z93" s="71" t="s">
        <v>286</v>
      </c>
      <c r="AA93" s="71" t="s">
        <v>204</v>
      </c>
      <c r="AB93" s="71" t="s">
        <v>221</v>
      </c>
      <c r="AC93" s="75"/>
      <c r="AE93" s="71" t="s">
        <v>194</v>
      </c>
      <c r="AF93" s="71" t="s">
        <v>277</v>
      </c>
      <c r="AG93" s="71" t="s">
        <v>198</v>
      </c>
      <c r="AH93" s="76" t="s">
        <v>253</v>
      </c>
      <c r="AK93" s="71" t="s">
        <v>196</v>
      </c>
      <c r="AL93" s="75" t="s">
        <v>219</v>
      </c>
      <c r="AM93" s="71"/>
      <c r="AN93" s="71"/>
      <c r="AO93" s="71" t="s">
        <v>209</v>
      </c>
      <c r="AP93" s="71" t="s">
        <v>236</v>
      </c>
      <c r="AQ93" s="71"/>
      <c r="AS93" s="71" t="s">
        <v>254</v>
      </c>
      <c r="AT93" s="75" t="s">
        <v>255</v>
      </c>
      <c r="AV93" s="75" t="s">
        <v>218</v>
      </c>
      <c r="AW93" s="75" t="s">
        <v>206</v>
      </c>
      <c r="AX93" s="75" t="str">
        <f t="shared" si="5"/>
        <v>JORGE IVAN PEREZ GAITAN</v>
      </c>
      <c r="BA93" s="75" t="s">
        <v>202</v>
      </c>
      <c r="BB93" s="75" t="str">
        <f t="shared" si="8"/>
        <v>CHRISTIAN CAMILO RODRIGUEZ SALAS</v>
      </c>
      <c r="BE93" s="75" t="s">
        <v>208</v>
      </c>
      <c r="BF93" s="80" t="s">
        <v>239</v>
      </c>
      <c r="BI93" s="75" t="s">
        <v>204</v>
      </c>
      <c r="BJ93" s="75" t="s">
        <v>221</v>
      </c>
      <c r="BK93" s="71" t="s">
        <v>338</v>
      </c>
      <c r="BL93" s="71" t="str">
        <v>MAT FIS CUL ETI COM SST</v>
      </c>
    </row>
    <row r="94" spans="1:64" x14ac:dyDescent="0.25">
      <c r="A94" s="70">
        <v>3070326</v>
      </c>
      <c r="B94" s="71" t="s">
        <v>245</v>
      </c>
      <c r="C94" s="71">
        <v>36</v>
      </c>
      <c r="D94" s="72" t="s">
        <v>271</v>
      </c>
      <c r="E94" s="73" t="s">
        <v>108</v>
      </c>
      <c r="F94" s="74">
        <f t="shared" si="6"/>
        <v>46188</v>
      </c>
      <c r="G94" s="73" t="s">
        <v>109</v>
      </c>
      <c r="H94" s="73" t="s">
        <v>334</v>
      </c>
      <c r="I94" s="71" t="s">
        <v>334</v>
      </c>
      <c r="J94" s="71" t="s">
        <v>226</v>
      </c>
      <c r="M94" s="70" t="s">
        <v>334</v>
      </c>
      <c r="N94" s="71" t="s">
        <v>233</v>
      </c>
      <c r="O94" s="71" t="str">
        <f>VLOOKUP(A94,Hoja4!$A$2:$B$247,2,FALSE)</f>
        <v xml:space="preserve">FERNANDO GONZALEZ GARCIA </v>
      </c>
      <c r="P94" s="71" t="s">
        <v>233</v>
      </c>
      <c r="Q94" s="73" t="s">
        <v>274</v>
      </c>
      <c r="R94" s="71" t="s">
        <v>326</v>
      </c>
      <c r="U94" s="75"/>
      <c r="W94" s="75"/>
      <c r="Y94" s="75" t="s">
        <v>200</v>
      </c>
      <c r="Z94" s="71" t="s">
        <v>201</v>
      </c>
      <c r="AA94" s="71" t="s">
        <v>204</v>
      </c>
      <c r="AB94" s="71" t="s">
        <v>269</v>
      </c>
      <c r="AC94" s="75"/>
      <c r="AE94" s="71" t="s">
        <v>194</v>
      </c>
      <c r="AF94" s="71" t="s">
        <v>277</v>
      </c>
      <c r="AG94" s="71" t="s">
        <v>198</v>
      </c>
      <c r="AH94" s="76" t="s">
        <v>299</v>
      </c>
      <c r="AK94" s="71" t="s">
        <v>196</v>
      </c>
      <c r="AL94" s="75" t="s">
        <v>219</v>
      </c>
      <c r="AM94" s="71"/>
      <c r="AN94" s="71"/>
      <c r="AO94" s="71" t="s">
        <v>209</v>
      </c>
      <c r="AP94" s="71" t="s">
        <v>236</v>
      </c>
      <c r="AQ94" s="71"/>
      <c r="AS94" s="71" t="s">
        <v>254</v>
      </c>
      <c r="AT94" s="75" t="s">
        <v>255</v>
      </c>
      <c r="AV94" s="75" t="s">
        <v>218</v>
      </c>
      <c r="AW94" s="75" t="s">
        <v>206</v>
      </c>
      <c r="AX94" s="75" t="str">
        <f t="shared" si="5"/>
        <v>MARINELLA DIAZ ACOSTA</v>
      </c>
      <c r="BA94" s="75" t="s">
        <v>202</v>
      </c>
      <c r="BB94" s="75" t="str">
        <f t="shared" si="8"/>
        <v>CHRISTIAN CAMILO RODRIGUEZ SALAS</v>
      </c>
      <c r="BE94" s="75" t="s">
        <v>208</v>
      </c>
      <c r="BF94" s="80" t="s">
        <v>239</v>
      </c>
      <c r="BI94" s="75" t="s">
        <v>204</v>
      </c>
      <c r="BJ94" s="75" t="s">
        <v>221</v>
      </c>
      <c r="BK94" s="71" t="s">
        <v>339</v>
      </c>
      <c r="BL94" s="71" t="str">
        <v>MAT EMP CUL ETI COM SST</v>
      </c>
    </row>
    <row r="95" spans="1:64" x14ac:dyDescent="0.25">
      <c r="A95" s="70">
        <v>3070334</v>
      </c>
      <c r="B95" s="71" t="s">
        <v>245</v>
      </c>
      <c r="C95" s="71">
        <v>33</v>
      </c>
      <c r="D95" s="72" t="s">
        <v>101</v>
      </c>
      <c r="E95" s="73" t="s">
        <v>108</v>
      </c>
      <c r="F95" s="74">
        <f t="shared" si="6"/>
        <v>46188</v>
      </c>
      <c r="G95" s="73" t="s">
        <v>109</v>
      </c>
      <c r="H95" s="73" t="s">
        <v>340</v>
      </c>
      <c r="I95" s="71" t="s">
        <v>340</v>
      </c>
      <c r="J95" s="71" t="s">
        <v>227</v>
      </c>
      <c r="M95" s="70" t="s">
        <v>340</v>
      </c>
      <c r="N95" s="71" t="s">
        <v>341</v>
      </c>
      <c r="O95" s="71" t="str">
        <f>VLOOKUP(A95,Hoja4!$A$2:$B$247,2,FALSE)</f>
        <v>MARÍA PAOLA GIRALDO HERRERA</v>
      </c>
      <c r="P95" s="71" t="s">
        <v>231</v>
      </c>
      <c r="Q95" s="73" t="s">
        <v>297</v>
      </c>
      <c r="R95" s="71" t="s">
        <v>342</v>
      </c>
      <c r="U95" s="75"/>
      <c r="W95" s="75"/>
      <c r="Y95" s="75" t="s">
        <v>196</v>
      </c>
      <c r="Z95" s="71" t="s">
        <v>312</v>
      </c>
      <c r="AA95" s="71" t="s">
        <v>200</v>
      </c>
      <c r="AB95" s="71" t="s">
        <v>220</v>
      </c>
      <c r="AC95" s="75" t="s">
        <v>242</v>
      </c>
      <c r="AD95" s="71" t="s">
        <v>243</v>
      </c>
      <c r="AE95" s="71" t="s">
        <v>198</v>
      </c>
      <c r="AF95" s="71" t="s">
        <v>199</v>
      </c>
      <c r="AG95" s="71" t="s">
        <v>254</v>
      </c>
      <c r="AH95" s="76" t="s">
        <v>255</v>
      </c>
      <c r="AK95" s="71" t="s">
        <v>208</v>
      </c>
      <c r="AL95" s="75" t="s">
        <v>278</v>
      </c>
      <c r="AM95" s="71"/>
      <c r="AN95" s="71"/>
      <c r="AO95" s="71" t="s">
        <v>204</v>
      </c>
      <c r="AP95" s="71" t="s">
        <v>217</v>
      </c>
      <c r="AQ95" s="71"/>
      <c r="AS95" s="71"/>
      <c r="AT95" s="75" t="s">
        <v>218</v>
      </c>
      <c r="AV95" s="75" t="s">
        <v>218</v>
      </c>
      <c r="AW95" s="75" t="s">
        <v>206</v>
      </c>
      <c r="AX95" s="75" t="str">
        <f t="shared" si="5"/>
        <v>JORGE IVAN PEREZ GAITAN</v>
      </c>
      <c r="BA95" s="75" t="s">
        <v>209</v>
      </c>
      <c r="BB95" s="75" t="str">
        <f t="shared" si="8"/>
        <v>ESTEFANIA SANDOVAL CRUZ</v>
      </c>
      <c r="BE95" s="75" t="s">
        <v>202</v>
      </c>
      <c r="BF95" s="80" t="s">
        <v>216</v>
      </c>
      <c r="BI95" s="75" t="s">
        <v>204</v>
      </c>
      <c r="BJ95" s="75" t="s">
        <v>221</v>
      </c>
      <c r="BK95" s="71" t="s">
        <v>343</v>
      </c>
      <c r="BL95" s="71" t="str">
        <v>MAT EMP CIE ETI COM SST</v>
      </c>
    </row>
    <row r="96" spans="1:64" x14ac:dyDescent="0.25">
      <c r="A96" s="70">
        <v>3070335</v>
      </c>
      <c r="B96" s="71" t="s">
        <v>245</v>
      </c>
      <c r="C96" s="71">
        <v>35</v>
      </c>
      <c r="D96" s="72" t="s">
        <v>101</v>
      </c>
      <c r="E96" s="73" t="s">
        <v>108</v>
      </c>
      <c r="F96" s="74">
        <f t="shared" si="6"/>
        <v>46188</v>
      </c>
      <c r="G96" s="73" t="s">
        <v>109</v>
      </c>
      <c r="H96" s="73" t="s">
        <v>340</v>
      </c>
      <c r="I96" s="71" t="s">
        <v>340</v>
      </c>
      <c r="J96" s="71" t="s">
        <v>227</v>
      </c>
      <c r="M96" s="70" t="s">
        <v>340</v>
      </c>
      <c r="N96" s="71" t="s">
        <v>341</v>
      </c>
      <c r="O96" s="71" t="str">
        <f>VLOOKUP(A96,Hoja4!$A$2:$B$247,2,FALSE)</f>
        <v>MARÍA PAOLA GIRALDO HERRERA</v>
      </c>
      <c r="P96" s="71" t="s">
        <v>231</v>
      </c>
      <c r="Q96" s="73" t="s">
        <v>297</v>
      </c>
      <c r="R96" s="71" t="s">
        <v>342</v>
      </c>
      <c r="U96" s="75"/>
      <c r="W96" s="75"/>
      <c r="Y96" s="75" t="s">
        <v>196</v>
      </c>
      <c r="Z96" s="71" t="s">
        <v>312</v>
      </c>
      <c r="AA96" s="71" t="s">
        <v>200</v>
      </c>
      <c r="AB96" s="71" t="s">
        <v>286</v>
      </c>
      <c r="AC96" s="75" t="s">
        <v>242</v>
      </c>
      <c r="AD96" s="71" t="s">
        <v>243</v>
      </c>
      <c r="AE96" s="71" t="s">
        <v>198</v>
      </c>
      <c r="AF96" s="71" t="s">
        <v>266</v>
      </c>
      <c r="AG96" s="71" t="s">
        <v>254</v>
      </c>
      <c r="AH96" s="76" t="s">
        <v>276</v>
      </c>
      <c r="AK96" s="71" t="s">
        <v>208</v>
      </c>
      <c r="AL96" s="75" t="s">
        <v>235</v>
      </c>
      <c r="AM96" s="71"/>
      <c r="AN96" s="71"/>
      <c r="AO96" s="71" t="s">
        <v>204</v>
      </c>
      <c r="AP96" s="71" t="s">
        <v>205</v>
      </c>
      <c r="AQ96" s="71"/>
      <c r="AS96" s="71"/>
      <c r="AT96" s="75" t="s">
        <v>218</v>
      </c>
      <c r="AV96" s="75" t="s">
        <v>218</v>
      </c>
      <c r="AW96" s="75" t="s">
        <v>206</v>
      </c>
      <c r="AX96" s="75" t="str">
        <f t="shared" si="5"/>
        <v>DEISY JULIETH GARCIA CASTAÑEDA</v>
      </c>
      <c r="BA96" s="75" t="s">
        <v>209</v>
      </c>
      <c r="BB96" s="75" t="str">
        <f t="shared" si="8"/>
        <v>LUIS ARTURO BASTIDAS</v>
      </c>
      <c r="BE96" s="75" t="s">
        <v>202</v>
      </c>
      <c r="BF96" s="75" t="s">
        <v>216</v>
      </c>
      <c r="BI96" s="75" t="s">
        <v>204</v>
      </c>
      <c r="BJ96" s="75" t="s">
        <v>221</v>
      </c>
      <c r="BK96" s="71" t="s">
        <v>339</v>
      </c>
      <c r="BL96" s="71" t="str">
        <v>MAT EMP ETI COM SST DER</v>
      </c>
    </row>
    <row r="97" spans="1:64" x14ac:dyDescent="0.25">
      <c r="A97" s="70">
        <v>3070336</v>
      </c>
      <c r="B97" s="71" t="s">
        <v>245</v>
      </c>
      <c r="C97" s="71">
        <v>32</v>
      </c>
      <c r="D97" s="72" t="s">
        <v>101</v>
      </c>
      <c r="E97" s="73" t="s">
        <v>108</v>
      </c>
      <c r="F97" s="74">
        <f t="shared" si="6"/>
        <v>46188</v>
      </c>
      <c r="G97" s="73" t="s">
        <v>109</v>
      </c>
      <c r="H97" s="73" t="s">
        <v>340</v>
      </c>
      <c r="I97" s="71" t="s">
        <v>340</v>
      </c>
      <c r="J97" s="71" t="s">
        <v>227</v>
      </c>
      <c r="M97" s="70" t="s">
        <v>340</v>
      </c>
      <c r="N97" s="71" t="s">
        <v>341</v>
      </c>
      <c r="O97" s="71" t="str">
        <f>VLOOKUP(A97,Hoja4!$A$2:$B$247,2,FALSE)</f>
        <v>MARÍA PAOLA GIRALDO HERRERA</v>
      </c>
      <c r="P97" s="71" t="s">
        <v>231</v>
      </c>
      <c r="Q97" s="73" t="s">
        <v>297</v>
      </c>
      <c r="R97" s="71" t="s">
        <v>342</v>
      </c>
      <c r="U97" s="75"/>
      <c r="W97" s="75"/>
      <c r="Y97" s="75" t="s">
        <v>196</v>
      </c>
      <c r="Z97" s="71" t="s">
        <v>267</v>
      </c>
      <c r="AA97" s="71" t="s">
        <v>200</v>
      </c>
      <c r="AB97" s="71" t="s">
        <v>220</v>
      </c>
      <c r="AC97" s="75" t="s">
        <v>242</v>
      </c>
      <c r="AD97" s="71" t="s">
        <v>243</v>
      </c>
      <c r="AE97" s="71" t="s">
        <v>198</v>
      </c>
      <c r="AF97" s="71" t="s">
        <v>199</v>
      </c>
      <c r="AG97" s="71" t="s">
        <v>254</v>
      </c>
      <c r="AH97" s="76" t="s">
        <v>276</v>
      </c>
      <c r="AK97" s="71" t="s">
        <v>208</v>
      </c>
      <c r="AL97" s="75" t="s">
        <v>235</v>
      </c>
      <c r="AM97" s="71"/>
      <c r="AN97" s="71"/>
      <c r="AO97" s="71" t="s">
        <v>204</v>
      </c>
      <c r="AP97" s="71" t="s">
        <v>205</v>
      </c>
      <c r="AQ97" s="71"/>
      <c r="AS97" s="71"/>
      <c r="AT97" s="75" t="s">
        <v>218</v>
      </c>
      <c r="AV97" s="75" t="s">
        <v>218</v>
      </c>
      <c r="AW97" s="75" t="s">
        <v>206</v>
      </c>
      <c r="AX97" s="75" t="str">
        <f t="shared" si="5"/>
        <v>MARINELLA DIAZ ACOSTA</v>
      </c>
      <c r="BA97" s="75" t="s">
        <v>209</v>
      </c>
      <c r="BB97" s="75" t="str">
        <f t="shared" si="8"/>
        <v>ALBERTO ANTONIO TAPIA TORRES</v>
      </c>
      <c r="BE97" s="75" t="s">
        <v>202</v>
      </c>
      <c r="BF97" s="75" t="s">
        <v>216</v>
      </c>
      <c r="BI97" s="75" t="s">
        <v>209</v>
      </c>
      <c r="BJ97" s="75" t="s">
        <v>226</v>
      </c>
      <c r="BK97" s="71" t="s">
        <v>339</v>
      </c>
      <c r="BL97" s="71" t="str">
        <v>MAT EMP ETI COM SST DER</v>
      </c>
    </row>
    <row r="98" spans="1:64" x14ac:dyDescent="0.25">
      <c r="A98" s="70">
        <v>3070337</v>
      </c>
      <c r="B98" s="71" t="s">
        <v>245</v>
      </c>
      <c r="C98" s="71">
        <v>38</v>
      </c>
      <c r="D98" s="72" t="s">
        <v>101</v>
      </c>
      <c r="E98" s="73" t="s">
        <v>108</v>
      </c>
      <c r="F98" s="74">
        <f t="shared" si="6"/>
        <v>46188</v>
      </c>
      <c r="G98" s="73" t="s">
        <v>109</v>
      </c>
      <c r="H98" s="73" t="s">
        <v>340</v>
      </c>
      <c r="I98" s="71" t="s">
        <v>340</v>
      </c>
      <c r="J98" s="71" t="s">
        <v>227</v>
      </c>
      <c r="M98" s="70" t="s">
        <v>340</v>
      </c>
      <c r="N98" s="71" t="s">
        <v>341</v>
      </c>
      <c r="O98" s="71" t="str">
        <f>VLOOKUP(A98,Hoja4!$A$2:$B$247,2,FALSE)</f>
        <v>MARÍA PAOLA GIRALDO HERRERA</v>
      </c>
      <c r="P98" s="71" t="s">
        <v>231</v>
      </c>
      <c r="Q98" s="73" t="s">
        <v>297</v>
      </c>
      <c r="R98" s="71" t="s">
        <v>342</v>
      </c>
      <c r="U98" s="75"/>
      <c r="W98" s="75"/>
      <c r="Y98" s="75" t="s">
        <v>196</v>
      </c>
      <c r="Z98" s="71" t="s">
        <v>312</v>
      </c>
      <c r="AA98" s="71" t="s">
        <v>200</v>
      </c>
      <c r="AB98" s="71" t="s">
        <v>220</v>
      </c>
      <c r="AC98" s="75" t="s">
        <v>242</v>
      </c>
      <c r="AD98" s="71" t="s">
        <v>243</v>
      </c>
      <c r="AE98" s="71" t="s">
        <v>198</v>
      </c>
      <c r="AF98" s="71" t="s">
        <v>266</v>
      </c>
      <c r="AG98" s="71" t="s">
        <v>254</v>
      </c>
      <c r="AH98" s="76" t="s">
        <v>255</v>
      </c>
      <c r="AK98" s="71" t="s">
        <v>208</v>
      </c>
      <c r="AL98" s="75" t="s">
        <v>235</v>
      </c>
      <c r="AM98" s="71"/>
      <c r="AN98" s="71"/>
      <c r="AO98" s="71" t="s">
        <v>204</v>
      </c>
      <c r="AP98" s="71" t="s">
        <v>217</v>
      </c>
      <c r="AQ98" s="71"/>
      <c r="AS98" s="71"/>
      <c r="AT98" s="75" t="s">
        <v>218</v>
      </c>
      <c r="AV98" s="75" t="s">
        <v>218</v>
      </c>
      <c r="AW98" s="75" t="s">
        <v>206</v>
      </c>
      <c r="AX98" s="75" t="str">
        <f t="shared" si="5"/>
        <v>JORGE IVAN PEREZ GAITAN</v>
      </c>
      <c r="BA98" s="75" t="s">
        <v>209</v>
      </c>
      <c r="BB98" s="75" t="str">
        <f t="shared" si="8"/>
        <v>ALBERTO ANTONIO TAPIA TORRES</v>
      </c>
      <c r="BE98" s="75" t="s">
        <v>202</v>
      </c>
      <c r="BF98" s="75" t="s">
        <v>216</v>
      </c>
      <c r="BI98" s="75" t="s">
        <v>206</v>
      </c>
      <c r="BJ98" s="75" t="s">
        <v>213</v>
      </c>
      <c r="BK98" s="71" t="s">
        <v>344</v>
      </c>
      <c r="BL98" s="71" t="str">
        <v>CIE SST</v>
      </c>
    </row>
    <row r="99" spans="1:64" x14ac:dyDescent="0.25">
      <c r="A99" s="70">
        <v>3070338</v>
      </c>
      <c r="B99" s="71" t="s">
        <v>245</v>
      </c>
      <c r="C99" s="71">
        <v>34</v>
      </c>
      <c r="D99" s="72" t="s">
        <v>101</v>
      </c>
      <c r="E99" s="73" t="s">
        <v>108</v>
      </c>
      <c r="F99" s="74">
        <f t="shared" si="6"/>
        <v>46188</v>
      </c>
      <c r="G99" s="73" t="s">
        <v>109</v>
      </c>
      <c r="H99" s="73" t="s">
        <v>345</v>
      </c>
      <c r="I99" s="71" t="s">
        <v>345</v>
      </c>
      <c r="J99" s="71" t="s">
        <v>227</v>
      </c>
      <c r="M99" s="70" t="s">
        <v>346</v>
      </c>
      <c r="N99" s="71" t="s">
        <v>341</v>
      </c>
      <c r="O99" s="71" t="str">
        <f>VLOOKUP(A99,Hoja4!$A$2:$B$247,2,FALSE)</f>
        <v>JUAN CAMILO BOHORQUEZ RODRIGUEZ              </v>
      </c>
      <c r="P99" s="71" t="s">
        <v>231</v>
      </c>
      <c r="Q99" s="73" t="s">
        <v>297</v>
      </c>
      <c r="R99" s="71" t="s">
        <v>342</v>
      </c>
      <c r="U99" s="75"/>
      <c r="W99" s="75"/>
      <c r="Y99" s="75" t="s">
        <v>196</v>
      </c>
      <c r="Z99" s="71" t="s">
        <v>267</v>
      </c>
      <c r="AA99" s="71" t="s">
        <v>200</v>
      </c>
      <c r="AB99" s="71" t="s">
        <v>286</v>
      </c>
      <c r="AC99" s="75" t="s">
        <v>242</v>
      </c>
      <c r="AD99" s="71" t="s">
        <v>243</v>
      </c>
      <c r="AE99" s="71" t="s">
        <v>198</v>
      </c>
      <c r="AF99" s="71" t="s">
        <v>199</v>
      </c>
      <c r="AG99" s="71" t="s">
        <v>254</v>
      </c>
      <c r="AH99" s="76" t="s">
        <v>255</v>
      </c>
      <c r="AK99" s="71" t="s">
        <v>208</v>
      </c>
      <c r="AL99" s="75" t="s">
        <v>239</v>
      </c>
      <c r="AM99" s="71"/>
      <c r="AN99" s="71"/>
      <c r="AO99" s="71" t="s">
        <v>209</v>
      </c>
      <c r="AP99" s="71" t="s">
        <v>236</v>
      </c>
      <c r="AQ99" s="71"/>
      <c r="AS99" s="71"/>
      <c r="AT99" s="75" t="s">
        <v>218</v>
      </c>
      <c r="AV99" s="75" t="s">
        <v>218</v>
      </c>
      <c r="AW99" s="75" t="s">
        <v>204</v>
      </c>
      <c r="AX99" s="75" t="str">
        <f t="shared" ref="AX99:AX117" si="9">IFERROR(VLOOKUP(A99,_p7_2025,2,FALSE),"")</f>
        <v>NELSON ALFREDO VARGAS MORA</v>
      </c>
      <c r="BA99" s="75" t="s">
        <v>206</v>
      </c>
      <c r="BB99" s="75" t="str">
        <f t="shared" si="8"/>
        <v>JORGE IVAN PEREZ GAITAN</v>
      </c>
      <c r="BE99" s="75" t="s">
        <v>202</v>
      </c>
      <c r="BF99" s="75" t="s">
        <v>216</v>
      </c>
      <c r="BK99" s="71" t="s">
        <v>333</v>
      </c>
      <c r="BL99" s="71" t="str">
        <v>COM INV SST</v>
      </c>
    </row>
    <row r="100" spans="1:64" x14ac:dyDescent="0.25">
      <c r="A100" s="70">
        <v>3070339</v>
      </c>
      <c r="B100" s="71" t="s">
        <v>245</v>
      </c>
      <c r="C100" s="71">
        <v>34</v>
      </c>
      <c r="D100" s="72" t="s">
        <v>101</v>
      </c>
      <c r="E100" s="73" t="s">
        <v>108</v>
      </c>
      <c r="F100" s="74">
        <f t="shared" si="6"/>
        <v>46188</v>
      </c>
      <c r="G100" s="73" t="s">
        <v>109</v>
      </c>
      <c r="H100" s="73" t="s">
        <v>345</v>
      </c>
      <c r="I100" s="71" t="s">
        <v>345</v>
      </c>
      <c r="J100" s="71" t="s">
        <v>227</v>
      </c>
      <c r="M100" s="70" t="s">
        <v>347</v>
      </c>
      <c r="N100" s="71" t="s">
        <v>348</v>
      </c>
      <c r="O100" s="71" t="str">
        <f>VLOOKUP(A100,Hoja4!$A$2:$B$247,2,FALSE)</f>
        <v>JOSE ALFONSO SOTO SILVERA   </v>
      </c>
      <c r="P100" s="71" t="s">
        <v>238</v>
      </c>
      <c r="Q100" s="73" t="s">
        <v>297</v>
      </c>
      <c r="R100" s="71" t="s">
        <v>342</v>
      </c>
      <c r="U100" s="75"/>
      <c r="W100" s="75"/>
      <c r="Y100" s="75" t="s">
        <v>196</v>
      </c>
      <c r="Z100" s="71" t="s">
        <v>312</v>
      </c>
      <c r="AA100" s="71" t="s">
        <v>200</v>
      </c>
      <c r="AB100" s="71" t="s">
        <v>220</v>
      </c>
      <c r="AC100" s="75" t="s">
        <v>242</v>
      </c>
      <c r="AD100" s="71" t="s">
        <v>243</v>
      </c>
      <c r="AE100" s="71" t="s">
        <v>204</v>
      </c>
      <c r="AF100" s="71" t="s">
        <v>221</v>
      </c>
      <c r="AG100" s="71" t="s">
        <v>198</v>
      </c>
      <c r="AH100" s="76" t="s">
        <v>299</v>
      </c>
      <c r="AK100" s="71" t="s">
        <v>202</v>
      </c>
      <c r="AL100" s="75" t="s">
        <v>216</v>
      </c>
      <c r="AM100" s="71"/>
      <c r="AN100" s="71"/>
      <c r="AO100" s="71" t="s">
        <v>208</v>
      </c>
      <c r="AP100" s="71" t="s">
        <v>278</v>
      </c>
      <c r="AQ100" s="71"/>
      <c r="AS100" s="71" t="s">
        <v>209</v>
      </c>
      <c r="AT100" s="75" t="s">
        <v>226</v>
      </c>
      <c r="AV100" s="75" t="s">
        <v>218</v>
      </c>
      <c r="AX100" s="75" t="str">
        <f t="shared" si="9"/>
        <v/>
      </c>
      <c r="BA100" s="75" t="s">
        <v>254</v>
      </c>
      <c r="BB100" s="75" t="str">
        <f t="shared" si="8"/>
        <v>CINDY YOHANA BOHORQUEZ GARZON</v>
      </c>
      <c r="BE100" s="75" t="s">
        <v>206</v>
      </c>
      <c r="BF100" s="75" t="s">
        <v>227</v>
      </c>
      <c r="BK100" s="71" t="s">
        <v>333</v>
      </c>
      <c r="BL100" s="71" t="str">
        <v>COM INV</v>
      </c>
    </row>
    <row r="101" spans="1:64" x14ac:dyDescent="0.25">
      <c r="A101" s="70">
        <v>3070340</v>
      </c>
      <c r="B101" s="71" t="s">
        <v>245</v>
      </c>
      <c r="C101" s="71">
        <v>33</v>
      </c>
      <c r="D101" s="72" t="s">
        <v>101</v>
      </c>
      <c r="E101" s="73" t="s">
        <v>108</v>
      </c>
      <c r="F101" s="74">
        <f t="shared" si="6"/>
        <v>46188</v>
      </c>
      <c r="G101" s="73" t="s">
        <v>109</v>
      </c>
      <c r="H101" s="73" t="s">
        <v>345</v>
      </c>
      <c r="I101" s="71" t="s">
        <v>345</v>
      </c>
      <c r="J101" s="71" t="s">
        <v>227</v>
      </c>
      <c r="M101" s="70" t="s">
        <v>347</v>
      </c>
      <c r="N101" s="71" t="s">
        <v>348</v>
      </c>
      <c r="O101" s="71" t="str">
        <f>VLOOKUP(A101,Hoja4!$A$2:$B$247,2,FALSE)</f>
        <v>JOSE ALFONSO SOTO SILVERA   </v>
      </c>
      <c r="P101" s="71" t="s">
        <v>238</v>
      </c>
      <c r="Q101" s="73" t="s">
        <v>297</v>
      </c>
      <c r="R101" s="71" t="s">
        <v>342</v>
      </c>
      <c r="U101" s="75"/>
      <c r="W101" s="75"/>
      <c r="Y101" s="75" t="s">
        <v>196</v>
      </c>
      <c r="Z101" s="71" t="s">
        <v>267</v>
      </c>
      <c r="AA101" s="71" t="s">
        <v>200</v>
      </c>
      <c r="AB101" s="71" t="s">
        <v>220</v>
      </c>
      <c r="AC101" s="75" t="s">
        <v>242</v>
      </c>
      <c r="AD101" s="71" t="s">
        <v>243</v>
      </c>
      <c r="AE101" s="71" t="s">
        <v>204</v>
      </c>
      <c r="AF101" s="71" t="s">
        <v>221</v>
      </c>
      <c r="AG101" s="71" t="s">
        <v>198</v>
      </c>
      <c r="AH101" s="76" t="s">
        <v>299</v>
      </c>
      <c r="AK101" s="71" t="s">
        <v>202</v>
      </c>
      <c r="AL101" s="75" t="s">
        <v>216</v>
      </c>
      <c r="AM101" s="71"/>
      <c r="AN101" s="71"/>
      <c r="AO101" s="71" t="s">
        <v>208</v>
      </c>
      <c r="AP101" s="71" t="s">
        <v>239</v>
      </c>
      <c r="AQ101" s="71"/>
      <c r="AS101" s="71" t="s">
        <v>209</v>
      </c>
      <c r="AT101" s="75" t="s">
        <v>228</v>
      </c>
      <c r="AV101" s="75" t="s">
        <v>218</v>
      </c>
      <c r="AX101" s="75" t="str">
        <f t="shared" si="9"/>
        <v/>
      </c>
      <c r="BA101" s="75" t="s">
        <v>254</v>
      </c>
      <c r="BB101" s="75" t="str">
        <f t="shared" si="8"/>
        <v>CINDY YOHANA BOHORQUEZ GARZON</v>
      </c>
      <c r="BE101" s="75" t="s">
        <v>206</v>
      </c>
      <c r="BF101" s="75" t="s">
        <v>227</v>
      </c>
      <c r="BK101" s="71" t="s">
        <v>333</v>
      </c>
      <c r="BL101" s="71" t="str">
        <v>COM INV</v>
      </c>
    </row>
    <row r="102" spans="1:64" x14ac:dyDescent="0.25">
      <c r="A102" s="70">
        <v>3070341</v>
      </c>
      <c r="B102" s="71" t="s">
        <v>245</v>
      </c>
      <c r="C102" s="71">
        <v>38</v>
      </c>
      <c r="D102" s="72" t="s">
        <v>101</v>
      </c>
      <c r="E102" s="73" t="s">
        <v>108</v>
      </c>
      <c r="F102" s="74">
        <f t="shared" si="6"/>
        <v>46188</v>
      </c>
      <c r="G102" s="73" t="s">
        <v>109</v>
      </c>
      <c r="H102" s="73" t="s">
        <v>345</v>
      </c>
      <c r="I102" s="71" t="s">
        <v>345</v>
      </c>
      <c r="J102" s="71" t="s">
        <v>227</v>
      </c>
      <c r="M102" s="70" t="s">
        <v>347</v>
      </c>
      <c r="N102" s="71" t="s">
        <v>348</v>
      </c>
      <c r="O102" s="71" t="str">
        <f>VLOOKUP(A102,Hoja4!$A$2:$B$247,2,FALSE)</f>
        <v>JOSE ALFONSO SOTO SILVERA   </v>
      </c>
      <c r="P102" s="71" t="s">
        <v>238</v>
      </c>
      <c r="Q102" s="73" t="s">
        <v>297</v>
      </c>
      <c r="R102" s="71" t="s">
        <v>342</v>
      </c>
      <c r="U102" s="75"/>
      <c r="W102" s="75"/>
      <c r="Y102" s="75" t="s">
        <v>196</v>
      </c>
      <c r="Z102" s="71" t="s">
        <v>312</v>
      </c>
      <c r="AA102" s="71" t="s">
        <v>200</v>
      </c>
      <c r="AB102" s="71" t="s">
        <v>201</v>
      </c>
      <c r="AC102" s="75" t="s">
        <v>242</v>
      </c>
      <c r="AD102" s="71" t="s">
        <v>243</v>
      </c>
      <c r="AE102" s="71" t="s">
        <v>254</v>
      </c>
      <c r="AF102" s="71" t="s">
        <v>255</v>
      </c>
      <c r="AG102" s="71" t="s">
        <v>204</v>
      </c>
      <c r="AH102" s="76" t="s">
        <v>217</v>
      </c>
      <c r="AK102" s="71" t="s">
        <v>209</v>
      </c>
      <c r="AL102" s="75" t="s">
        <v>332</v>
      </c>
      <c r="AM102" s="71"/>
      <c r="AN102" s="71"/>
      <c r="AO102" s="71"/>
      <c r="AP102" s="71"/>
      <c r="AQ102" s="71"/>
      <c r="AS102" s="71" t="s">
        <v>198</v>
      </c>
      <c r="AT102" s="75" t="s">
        <v>199</v>
      </c>
      <c r="AV102" s="75" t="s">
        <v>218</v>
      </c>
      <c r="AW102" s="75" t="s">
        <v>208</v>
      </c>
      <c r="AX102" s="75" t="str">
        <f t="shared" si="9"/>
        <v>LAURA STHEPHANIA SANCHEZ PABON</v>
      </c>
      <c r="BA102" s="75" t="s">
        <v>206</v>
      </c>
      <c r="BB102" s="75" t="str">
        <f t="shared" si="8"/>
        <v>JORGE IVAN PEREZ GAITAN</v>
      </c>
      <c r="BE102" s="75" t="s">
        <v>202</v>
      </c>
      <c r="BF102" s="80" t="s">
        <v>216</v>
      </c>
      <c r="BK102" s="71" t="s">
        <v>333</v>
      </c>
      <c r="BL102" s="71" t="str">
        <v>COM INV SST</v>
      </c>
    </row>
    <row r="103" spans="1:64" x14ac:dyDescent="0.25">
      <c r="A103" s="70">
        <v>3070342</v>
      </c>
      <c r="B103" s="71" t="s">
        <v>245</v>
      </c>
      <c r="C103" s="71">
        <v>36</v>
      </c>
      <c r="D103" s="72" t="s">
        <v>101</v>
      </c>
      <c r="E103" s="73" t="s">
        <v>108</v>
      </c>
      <c r="F103" s="74">
        <f t="shared" si="6"/>
        <v>46188</v>
      </c>
      <c r="G103" s="73" t="s">
        <v>109</v>
      </c>
      <c r="H103" s="73" t="s">
        <v>346</v>
      </c>
      <c r="I103" s="71" t="s">
        <v>346</v>
      </c>
      <c r="J103" s="71" t="s">
        <v>227</v>
      </c>
      <c r="M103" s="70" t="s">
        <v>346</v>
      </c>
      <c r="N103" s="71" t="s">
        <v>348</v>
      </c>
      <c r="O103" s="71" t="str">
        <f>VLOOKUP(A103,Hoja4!$A$2:$B$247,2,FALSE)</f>
        <v>JUAN CAMILO BOHORQUEZ RODRIGUEZ              </v>
      </c>
      <c r="P103" s="71" t="s">
        <v>238</v>
      </c>
      <c r="Q103" s="73" t="s">
        <v>297</v>
      </c>
      <c r="R103" s="71" t="s">
        <v>342</v>
      </c>
      <c r="U103" s="75"/>
      <c r="W103" s="75"/>
      <c r="Y103" s="75" t="s">
        <v>196</v>
      </c>
      <c r="Z103" s="71" t="s">
        <v>267</v>
      </c>
      <c r="AA103" s="71" t="s">
        <v>200</v>
      </c>
      <c r="AB103" s="71" t="s">
        <v>201</v>
      </c>
      <c r="AC103" s="75"/>
      <c r="AE103" s="71" t="s">
        <v>254</v>
      </c>
      <c r="AF103" s="71" t="s">
        <v>255</v>
      </c>
      <c r="AG103" s="71" t="s">
        <v>198</v>
      </c>
      <c r="AH103" s="76" t="s">
        <v>199</v>
      </c>
      <c r="AK103" s="71" t="s">
        <v>209</v>
      </c>
      <c r="AL103" s="75" t="s">
        <v>236</v>
      </c>
      <c r="AM103" s="71"/>
      <c r="AN103" s="71"/>
      <c r="AO103" s="71" t="s">
        <v>242</v>
      </c>
      <c r="AP103" s="71" t="s">
        <v>243</v>
      </c>
      <c r="AQ103" s="71"/>
      <c r="AS103" s="71"/>
      <c r="AT103" s="75" t="s">
        <v>218</v>
      </c>
      <c r="AV103" s="75" t="s">
        <v>218</v>
      </c>
      <c r="AW103" s="75" t="s">
        <v>208</v>
      </c>
      <c r="AX103" s="75" t="str">
        <f t="shared" si="9"/>
        <v>HECTOR ANDRES CIPAMOCHA CENTENO</v>
      </c>
      <c r="BA103" s="75" t="s">
        <v>204</v>
      </c>
      <c r="BB103" s="75" t="str">
        <f t="shared" si="8"/>
        <v>IVAN DARIO RODRIGUEZ BUSTAMANTE</v>
      </c>
      <c r="BE103" s="75" t="s">
        <v>206</v>
      </c>
      <c r="BF103" s="75" t="s">
        <v>213</v>
      </c>
      <c r="BK103" s="71" t="s">
        <v>349</v>
      </c>
      <c r="BL103" s="71" t="str">
        <v>CIE CUL</v>
      </c>
    </row>
    <row r="104" spans="1:64" x14ac:dyDescent="0.25">
      <c r="A104" s="70">
        <v>3070343</v>
      </c>
      <c r="B104" s="71" t="s">
        <v>245</v>
      </c>
      <c r="C104" s="71">
        <v>40</v>
      </c>
      <c r="D104" s="72" t="s">
        <v>101</v>
      </c>
      <c r="E104" s="73" t="s">
        <v>108</v>
      </c>
      <c r="F104" s="74">
        <f t="shared" si="6"/>
        <v>46188</v>
      </c>
      <c r="G104" s="73" t="s">
        <v>109</v>
      </c>
      <c r="H104" s="73" t="s">
        <v>346</v>
      </c>
      <c r="I104" s="71" t="s">
        <v>346</v>
      </c>
      <c r="J104" s="71" t="s">
        <v>227</v>
      </c>
      <c r="M104" s="70" t="s">
        <v>346</v>
      </c>
      <c r="N104" s="71" t="s">
        <v>348</v>
      </c>
      <c r="O104" s="71" t="str">
        <f>VLOOKUP(A104,Hoja4!$A$2:$B$247,2,FALSE)</f>
        <v>JUAN CAMILO BOHORQUEZ RODRIGUEZ              </v>
      </c>
      <c r="P104" s="71" t="s">
        <v>238</v>
      </c>
      <c r="Q104" s="73" t="s">
        <v>297</v>
      </c>
      <c r="R104" s="71" t="s">
        <v>342</v>
      </c>
      <c r="U104" s="75"/>
      <c r="W104" s="75"/>
      <c r="Y104" s="75" t="s">
        <v>196</v>
      </c>
      <c r="Z104" s="71" t="s">
        <v>312</v>
      </c>
      <c r="AA104" s="71" t="s">
        <v>200</v>
      </c>
      <c r="AB104" s="71" t="s">
        <v>201</v>
      </c>
      <c r="AC104" s="75"/>
      <c r="AE104" s="71" t="s">
        <v>206</v>
      </c>
      <c r="AF104" s="71" t="s">
        <v>227</v>
      </c>
      <c r="AG104" s="71" t="s">
        <v>198</v>
      </c>
      <c r="AH104" s="76" t="s">
        <v>299</v>
      </c>
      <c r="AK104" s="71"/>
      <c r="AL104" s="75" t="s">
        <v>218</v>
      </c>
      <c r="AM104" s="71"/>
      <c r="AN104" s="71"/>
      <c r="AO104" s="71" t="s">
        <v>204</v>
      </c>
      <c r="AP104" s="71" t="s">
        <v>221</v>
      </c>
      <c r="AQ104" s="71"/>
      <c r="AS104" s="71" t="s">
        <v>242</v>
      </c>
      <c r="AT104" s="75" t="s">
        <v>243</v>
      </c>
      <c r="AV104" s="75" t="s">
        <v>218</v>
      </c>
      <c r="AW104" s="75" t="s">
        <v>254</v>
      </c>
      <c r="AX104" s="75" t="str">
        <f t="shared" si="9"/>
        <v>CINDY YOHANA BOHORQUEZ GARZON</v>
      </c>
      <c r="BA104" s="75" t="s">
        <v>208</v>
      </c>
      <c r="BB104" s="75" t="str">
        <f t="shared" si="8"/>
        <v>MARIA CAROLINA GOMEZ CALLE</v>
      </c>
      <c r="BE104" s="75" t="s">
        <v>209</v>
      </c>
      <c r="BF104" s="75" t="s">
        <v>226</v>
      </c>
      <c r="BK104" s="71" t="s">
        <v>350</v>
      </c>
      <c r="BL104" s="71" t="str">
        <v>SST CUL</v>
      </c>
    </row>
    <row r="105" spans="1:64" x14ac:dyDescent="0.25">
      <c r="A105" s="70">
        <v>3070344</v>
      </c>
      <c r="B105" s="71" t="s">
        <v>245</v>
      </c>
      <c r="C105" s="71">
        <v>41</v>
      </c>
      <c r="D105" s="72" t="s">
        <v>101</v>
      </c>
      <c r="E105" s="73" t="s">
        <v>108</v>
      </c>
      <c r="F105" s="74">
        <f t="shared" si="6"/>
        <v>46188</v>
      </c>
      <c r="G105" s="73" t="s">
        <v>109</v>
      </c>
      <c r="H105" s="73" t="s">
        <v>346</v>
      </c>
      <c r="I105" s="71" t="s">
        <v>346</v>
      </c>
      <c r="J105" s="71" t="s">
        <v>227</v>
      </c>
      <c r="M105" s="70" t="s">
        <v>346</v>
      </c>
      <c r="N105" s="71" t="s">
        <v>348</v>
      </c>
      <c r="O105" s="71" t="str">
        <f>VLOOKUP(A105,Hoja4!$A$2:$B$247,2,FALSE)</f>
        <v>MARTHA LILIANA SAAVEDRA VILLAMIZAR           </v>
      </c>
      <c r="P105" s="71" t="s">
        <v>238</v>
      </c>
      <c r="Q105" s="73" t="s">
        <v>297</v>
      </c>
      <c r="R105" s="71" t="s">
        <v>342</v>
      </c>
      <c r="U105" s="75"/>
      <c r="W105" s="75"/>
      <c r="Y105" s="75" t="s">
        <v>196</v>
      </c>
      <c r="Z105" s="71" t="s">
        <v>267</v>
      </c>
      <c r="AA105" s="71" t="s">
        <v>198</v>
      </c>
      <c r="AB105" s="71" t="s">
        <v>266</v>
      </c>
      <c r="AC105" s="75"/>
      <c r="AE105" s="71" t="s">
        <v>200</v>
      </c>
      <c r="AF105" s="71" t="s">
        <v>220</v>
      </c>
      <c r="AG105" s="71" t="s">
        <v>254</v>
      </c>
      <c r="AH105" s="76" t="s">
        <v>255</v>
      </c>
      <c r="AK105" s="71" t="s">
        <v>209</v>
      </c>
      <c r="AL105" s="75" t="s">
        <v>228</v>
      </c>
      <c r="AM105" s="71"/>
      <c r="AN105" s="71"/>
      <c r="AO105" s="71" t="s">
        <v>242</v>
      </c>
      <c r="AP105" s="71" t="s">
        <v>243</v>
      </c>
      <c r="AQ105" s="71"/>
      <c r="AS105" s="71"/>
      <c r="AT105" s="75" t="s">
        <v>218</v>
      </c>
      <c r="AV105" s="75" t="s">
        <v>218</v>
      </c>
      <c r="AW105" s="75" t="s">
        <v>208</v>
      </c>
      <c r="AX105" s="75" t="str">
        <f t="shared" si="9"/>
        <v>MARIA CAROLINA GOMEZ CALLE</v>
      </c>
      <c r="BA105" s="75" t="s">
        <v>204</v>
      </c>
      <c r="BB105" s="75" t="str">
        <f t="shared" si="8"/>
        <v>NELSON ALFREDO VARGAS MORA</v>
      </c>
      <c r="BE105" s="75" t="s">
        <v>206</v>
      </c>
      <c r="BF105" s="75" t="s">
        <v>213</v>
      </c>
      <c r="BK105" s="71" t="s">
        <v>350</v>
      </c>
      <c r="BL105" s="71" t="str">
        <v>CUL</v>
      </c>
    </row>
    <row r="106" spans="1:64" x14ac:dyDescent="0.25">
      <c r="A106" s="70">
        <v>3070345</v>
      </c>
      <c r="B106" s="71" t="s">
        <v>245</v>
      </c>
      <c r="C106" s="71">
        <v>41</v>
      </c>
      <c r="D106" s="72" t="s">
        <v>101</v>
      </c>
      <c r="E106" s="73" t="s">
        <v>108</v>
      </c>
      <c r="F106" s="74">
        <f t="shared" si="6"/>
        <v>46188</v>
      </c>
      <c r="G106" s="73" t="s">
        <v>109</v>
      </c>
      <c r="H106" s="73" t="s">
        <v>346</v>
      </c>
      <c r="I106" s="71" t="s">
        <v>346</v>
      </c>
      <c r="J106" s="71" t="s">
        <v>227</v>
      </c>
      <c r="M106" s="70" t="s">
        <v>346</v>
      </c>
      <c r="N106" s="71" t="s">
        <v>348</v>
      </c>
      <c r="O106" s="71" t="str">
        <f>VLOOKUP(A106,Hoja4!$A$2:$B$247,2,FALSE)</f>
        <v>MARTHA LILIANA SAAVEDRA VILLAMIZAR           </v>
      </c>
      <c r="P106" s="71" t="s">
        <v>238</v>
      </c>
      <c r="Q106" s="73" t="s">
        <v>297</v>
      </c>
      <c r="R106" s="71" t="s">
        <v>342</v>
      </c>
      <c r="U106" s="75"/>
      <c r="W106" s="75"/>
      <c r="Y106" s="75" t="s">
        <v>196</v>
      </c>
      <c r="Z106" s="71" t="s">
        <v>267</v>
      </c>
      <c r="AA106" s="71" t="s">
        <v>198</v>
      </c>
      <c r="AB106" s="71" t="s">
        <v>199</v>
      </c>
      <c r="AC106" s="75"/>
      <c r="AE106" s="71" t="s">
        <v>208</v>
      </c>
      <c r="AF106" s="71" t="s">
        <v>239</v>
      </c>
      <c r="AG106" s="71" t="s">
        <v>209</v>
      </c>
      <c r="AH106" s="76" t="s">
        <v>226</v>
      </c>
      <c r="AK106" s="71"/>
      <c r="AL106" s="75" t="s">
        <v>218</v>
      </c>
      <c r="AM106" s="71"/>
      <c r="AN106" s="71"/>
      <c r="AO106" s="71" t="s">
        <v>204</v>
      </c>
      <c r="AP106" s="71" t="s">
        <v>205</v>
      </c>
      <c r="AQ106" s="71"/>
      <c r="AS106" s="71"/>
      <c r="AT106" s="75" t="s">
        <v>218</v>
      </c>
      <c r="AV106" s="75" t="s">
        <v>218</v>
      </c>
      <c r="AW106" s="75" t="s">
        <v>242</v>
      </c>
      <c r="AX106" s="75" t="str">
        <f t="shared" si="9"/>
        <v>LAURA SOFIA PAEZ GALLO</v>
      </c>
      <c r="BA106" s="75" t="s">
        <v>200</v>
      </c>
      <c r="BB106" s="75" t="str">
        <f t="shared" si="8"/>
        <v>ELKIN DURAN MANCIPE</v>
      </c>
      <c r="BE106" s="75" t="s">
        <v>202</v>
      </c>
      <c r="BF106" s="75" t="s">
        <v>203</v>
      </c>
      <c r="BK106" s="71" t="s">
        <v>351</v>
      </c>
      <c r="BL106" s="71" t="str">
        <v>INV CIE DER SST</v>
      </c>
    </row>
    <row r="107" spans="1:64" x14ac:dyDescent="0.25">
      <c r="A107" s="70">
        <v>3070348</v>
      </c>
      <c r="B107" s="71" t="s">
        <v>245</v>
      </c>
      <c r="C107" s="71">
        <v>35</v>
      </c>
      <c r="D107" s="72" t="s">
        <v>99</v>
      </c>
      <c r="E107" s="73" t="s">
        <v>108</v>
      </c>
      <c r="F107" s="74">
        <f t="shared" si="6"/>
        <v>46188</v>
      </c>
      <c r="G107" s="73" t="s">
        <v>109</v>
      </c>
      <c r="H107" s="73" t="s">
        <v>260</v>
      </c>
      <c r="I107" s="71" t="s">
        <v>352</v>
      </c>
      <c r="J107" s="71" t="s">
        <v>261</v>
      </c>
      <c r="L107" s="71" t="s">
        <v>260</v>
      </c>
      <c r="M107" s="70" t="s">
        <v>268</v>
      </c>
      <c r="N107" s="71" t="s">
        <v>348</v>
      </c>
      <c r="O107" s="71" t="str">
        <f>VLOOKUP(A107,Hoja4!$A$2:$B$247,2,FALSE)</f>
        <v>LEYDY NAHIR FONSECA CARDENAS        </v>
      </c>
      <c r="P107" s="71" t="s">
        <v>238</v>
      </c>
      <c r="Q107" s="73" t="s">
        <v>263</v>
      </c>
      <c r="R107" s="71" t="s">
        <v>353</v>
      </c>
      <c r="U107" s="75"/>
      <c r="W107" s="75"/>
      <c r="Y107" s="75" t="s">
        <v>200</v>
      </c>
      <c r="Z107" s="71" t="s">
        <v>220</v>
      </c>
      <c r="AA107" s="71" t="s">
        <v>198</v>
      </c>
      <c r="AB107" s="71" t="s">
        <v>199</v>
      </c>
      <c r="AC107" s="75"/>
      <c r="AE107" s="71" t="s">
        <v>196</v>
      </c>
      <c r="AF107" s="71" t="s">
        <v>219</v>
      </c>
      <c r="AG107" s="71" t="s">
        <v>204</v>
      </c>
      <c r="AH107" s="76" t="s">
        <v>205</v>
      </c>
      <c r="AK107" s="71" t="s">
        <v>209</v>
      </c>
      <c r="AL107" s="75" t="s">
        <v>236</v>
      </c>
      <c r="AM107" s="71"/>
      <c r="AN107" s="71"/>
      <c r="AO107" s="71" t="s">
        <v>206</v>
      </c>
      <c r="AP107" s="71" t="s">
        <v>213</v>
      </c>
      <c r="AQ107" s="71"/>
      <c r="AS107" s="71" t="s">
        <v>208</v>
      </c>
      <c r="AT107" s="75" t="s">
        <v>278</v>
      </c>
      <c r="AV107" s="75" t="s">
        <v>218</v>
      </c>
      <c r="AX107" s="75" t="str">
        <f t="shared" si="9"/>
        <v/>
      </c>
      <c r="BA107" s="75" t="s">
        <v>194</v>
      </c>
      <c r="BB107" s="75" t="str">
        <f t="shared" si="8"/>
        <v>CAMILO ERNESTO CALDERON GALINDO</v>
      </c>
      <c r="BE107" s="75" t="s">
        <v>254</v>
      </c>
      <c r="BF107" s="75" t="s">
        <v>255</v>
      </c>
      <c r="BI107" s="75" t="s">
        <v>209</v>
      </c>
      <c r="BJ107" s="75" t="s">
        <v>226</v>
      </c>
      <c r="BK107" s="71" t="s">
        <v>354</v>
      </c>
      <c r="BL107" s="71" t="str">
        <v>CIE SST EMP CUL</v>
      </c>
    </row>
    <row r="108" spans="1:64" x14ac:dyDescent="0.25">
      <c r="A108" s="70">
        <v>3070350</v>
      </c>
      <c r="B108" s="71" t="s">
        <v>245</v>
      </c>
      <c r="C108" s="71">
        <v>35</v>
      </c>
      <c r="D108" s="72" t="s">
        <v>99</v>
      </c>
      <c r="E108" s="73" t="s">
        <v>108</v>
      </c>
      <c r="F108" s="74">
        <f t="shared" si="6"/>
        <v>46188</v>
      </c>
      <c r="G108" s="73" t="s">
        <v>109</v>
      </c>
      <c r="H108" s="73" t="s">
        <v>260</v>
      </c>
      <c r="I108" s="71" t="s">
        <v>352</v>
      </c>
      <c r="J108" s="71" t="s">
        <v>261</v>
      </c>
      <c r="L108" s="71" t="s">
        <v>260</v>
      </c>
      <c r="M108" s="70" t="s">
        <v>268</v>
      </c>
      <c r="N108" s="71" t="s">
        <v>348</v>
      </c>
      <c r="O108" s="71" t="str">
        <f>VLOOKUP(A108,Hoja4!$A$2:$B$247,2,FALSE)</f>
        <v>LEYDY NAHIR FONSECA CARDENAS        </v>
      </c>
      <c r="P108" s="71" t="s">
        <v>238</v>
      </c>
      <c r="Q108" s="73" t="s">
        <v>263</v>
      </c>
      <c r="R108" s="71" t="s">
        <v>353</v>
      </c>
      <c r="U108" s="75"/>
      <c r="W108" s="75"/>
      <c r="Y108" s="75" t="s">
        <v>200</v>
      </c>
      <c r="Z108" s="71" t="s">
        <v>286</v>
      </c>
      <c r="AA108" s="71" t="s">
        <v>198</v>
      </c>
      <c r="AB108" s="71" t="s">
        <v>266</v>
      </c>
      <c r="AC108" s="75"/>
      <c r="AE108" s="71" t="s">
        <v>196</v>
      </c>
      <c r="AF108" s="71" t="s">
        <v>267</v>
      </c>
      <c r="AG108" s="71" t="s">
        <v>204</v>
      </c>
      <c r="AH108" s="76" t="s">
        <v>217</v>
      </c>
      <c r="AK108" s="71" t="s">
        <v>209</v>
      </c>
      <c r="AL108" s="75" t="s">
        <v>226</v>
      </c>
      <c r="AM108" s="71"/>
      <c r="AN108" s="71"/>
      <c r="AO108" s="71" t="s">
        <v>206</v>
      </c>
      <c r="AP108" s="71" t="s">
        <v>227</v>
      </c>
      <c r="AQ108" s="71"/>
      <c r="AS108" s="71" t="s">
        <v>208</v>
      </c>
      <c r="AT108" s="75" t="s">
        <v>239</v>
      </c>
      <c r="AV108" s="75" t="s">
        <v>218</v>
      </c>
      <c r="AX108" s="75" t="str">
        <f t="shared" si="9"/>
        <v/>
      </c>
      <c r="BA108" s="75" t="s">
        <v>194</v>
      </c>
      <c r="BB108" s="75" t="str">
        <f t="shared" si="8"/>
        <v>CAMILO ERNESTO CALDERON GALINDO</v>
      </c>
      <c r="BE108" s="75" t="s">
        <v>254</v>
      </c>
      <c r="BF108" s="75" t="s">
        <v>255</v>
      </c>
      <c r="BI108" s="75" t="s">
        <v>206</v>
      </c>
      <c r="BJ108" s="75" t="s">
        <v>213</v>
      </c>
      <c r="BK108" s="71" t="s">
        <v>336</v>
      </c>
      <c r="BL108" s="71" t="str">
        <v>SST</v>
      </c>
    </row>
    <row r="109" spans="1:64" x14ac:dyDescent="0.25">
      <c r="A109" s="70">
        <v>3070351</v>
      </c>
      <c r="B109" s="71" t="s">
        <v>245</v>
      </c>
      <c r="C109" s="71">
        <v>37</v>
      </c>
      <c r="D109" s="72" t="s">
        <v>99</v>
      </c>
      <c r="E109" s="73" t="s">
        <v>108</v>
      </c>
      <c r="F109" s="74">
        <f t="shared" si="6"/>
        <v>46188</v>
      </c>
      <c r="G109" s="73" t="s">
        <v>109</v>
      </c>
      <c r="H109" s="73" t="s">
        <v>260</v>
      </c>
      <c r="I109" s="71" t="s">
        <v>352</v>
      </c>
      <c r="J109" s="71" t="s">
        <v>261</v>
      </c>
      <c r="L109" s="71" t="s">
        <v>260</v>
      </c>
      <c r="M109" s="70" t="s">
        <v>268</v>
      </c>
      <c r="N109" s="71" t="s">
        <v>348</v>
      </c>
      <c r="O109" s="71" t="str">
        <f>VLOOKUP(A109,Hoja4!$A$2:$B$247,2,FALSE)</f>
        <v>LEYDY NAHIR FONSECA CARDENAS        </v>
      </c>
      <c r="P109" s="71" t="s">
        <v>238</v>
      </c>
      <c r="Q109" s="73" t="s">
        <v>263</v>
      </c>
      <c r="R109" s="71" t="s">
        <v>353</v>
      </c>
      <c r="U109" s="75"/>
      <c r="W109" s="75"/>
      <c r="Y109" s="75" t="s">
        <v>198</v>
      </c>
      <c r="Z109" s="71" t="s">
        <v>199</v>
      </c>
      <c r="AA109" s="71" t="s">
        <v>200</v>
      </c>
      <c r="AB109" s="71" t="s">
        <v>286</v>
      </c>
      <c r="AC109" s="75"/>
      <c r="AE109" s="71" t="s">
        <v>196</v>
      </c>
      <c r="AF109" s="71" t="s">
        <v>219</v>
      </c>
      <c r="AG109" s="71" t="s">
        <v>209</v>
      </c>
      <c r="AH109" s="76" t="s">
        <v>236</v>
      </c>
      <c r="AK109" s="71" t="s">
        <v>206</v>
      </c>
      <c r="AL109" s="75" t="s">
        <v>227</v>
      </c>
      <c r="AM109" s="71"/>
      <c r="AN109" s="71"/>
      <c r="AO109" s="71" t="s">
        <v>204</v>
      </c>
      <c r="AP109" s="71" t="s">
        <v>205</v>
      </c>
      <c r="AQ109" s="71"/>
      <c r="AS109" s="71" t="s">
        <v>208</v>
      </c>
      <c r="AT109" s="75" t="s">
        <v>235</v>
      </c>
      <c r="AV109" s="75" t="s">
        <v>218</v>
      </c>
      <c r="AX109" s="75" t="str">
        <f t="shared" si="9"/>
        <v/>
      </c>
      <c r="BK109" s="71" t="s">
        <v>355</v>
      </c>
      <c r="BL109" s="71" t="str">
        <v>SST INV FIS</v>
      </c>
    </row>
    <row r="110" spans="1:64" x14ac:dyDescent="0.25">
      <c r="A110" s="70">
        <v>3070358</v>
      </c>
      <c r="B110" s="71" t="s">
        <v>245</v>
      </c>
      <c r="C110" s="71">
        <v>28</v>
      </c>
      <c r="D110" s="72" t="s">
        <v>100</v>
      </c>
      <c r="E110" s="73" t="s">
        <v>108</v>
      </c>
      <c r="F110" s="74">
        <f t="shared" si="6"/>
        <v>46188</v>
      </c>
      <c r="G110" s="73" t="s">
        <v>109</v>
      </c>
      <c r="H110" s="73" t="s">
        <v>356</v>
      </c>
      <c r="I110" s="71" t="s">
        <v>356</v>
      </c>
      <c r="J110" s="71" t="s">
        <v>261</v>
      </c>
      <c r="M110" s="70" t="s">
        <v>356</v>
      </c>
      <c r="N110" s="71" t="s">
        <v>357</v>
      </c>
      <c r="O110" s="71" t="str">
        <f>VLOOKUP(A110,Hoja4!$A$2:$B$247,2,FALSE)</f>
        <v>VIVIANA MARCELA AGUDELO GARCÍA  </v>
      </c>
      <c r="P110" s="71" t="s">
        <v>238</v>
      </c>
      <c r="Q110" s="73" t="s">
        <v>293</v>
      </c>
      <c r="R110" s="71" t="s">
        <v>358</v>
      </c>
      <c r="U110" s="75"/>
      <c r="W110" s="75"/>
      <c r="Y110" s="75" t="s">
        <v>204</v>
      </c>
      <c r="Z110" s="71" t="s">
        <v>217</v>
      </c>
      <c r="AA110" s="71" t="s">
        <v>198</v>
      </c>
      <c r="AB110" s="71" t="s">
        <v>199</v>
      </c>
      <c r="AC110" s="75"/>
      <c r="AE110" s="71" t="s">
        <v>206</v>
      </c>
      <c r="AF110" s="71" t="s">
        <v>227</v>
      </c>
      <c r="AH110" s="76"/>
      <c r="AK110" s="71" t="s">
        <v>209</v>
      </c>
      <c r="AL110" s="75" t="s">
        <v>228</v>
      </c>
      <c r="AM110" s="71"/>
      <c r="AN110" s="71"/>
      <c r="AO110" s="71"/>
      <c r="AP110" s="71"/>
      <c r="AQ110" s="71"/>
      <c r="AS110" s="71" t="s">
        <v>196</v>
      </c>
      <c r="AT110" s="75" t="s">
        <v>244</v>
      </c>
      <c r="AV110" s="75" t="s">
        <v>218</v>
      </c>
      <c r="AW110" s="75" t="s">
        <v>254</v>
      </c>
      <c r="AX110" s="75" t="str">
        <f t="shared" si="9"/>
        <v>CINDY YOHANA BOHORQUEZ GARZON</v>
      </c>
      <c r="BA110" s="75" t="s">
        <v>200</v>
      </c>
      <c r="BB110" s="75" t="str">
        <f t="shared" ref="BB110:BB123" si="10">VLOOKUP(A110,_p8_2025,2,FALSE)</f>
        <v>JULIANA HERNANDEZ BARRERA</v>
      </c>
      <c r="BE110" s="75" t="s">
        <v>202</v>
      </c>
      <c r="BF110" s="75" t="s">
        <v>203</v>
      </c>
      <c r="BK110" s="71" t="s">
        <v>355</v>
      </c>
      <c r="BL110" s="71" t="str">
        <v>SST INV FIS</v>
      </c>
    </row>
    <row r="111" spans="1:64" x14ac:dyDescent="0.25">
      <c r="A111" s="70">
        <v>3070360</v>
      </c>
      <c r="B111" s="71" t="s">
        <v>245</v>
      </c>
      <c r="C111" s="71">
        <v>32</v>
      </c>
      <c r="D111" s="72" t="s">
        <v>100</v>
      </c>
      <c r="E111" s="73" t="s">
        <v>108</v>
      </c>
      <c r="F111" s="74">
        <f t="shared" si="6"/>
        <v>46188</v>
      </c>
      <c r="G111" s="73" t="s">
        <v>109</v>
      </c>
      <c r="H111" s="73" t="s">
        <v>356</v>
      </c>
      <c r="I111" s="71" t="s">
        <v>356</v>
      </c>
      <c r="J111" s="71" t="s">
        <v>261</v>
      </c>
      <c r="M111" s="70" t="s">
        <v>356</v>
      </c>
      <c r="N111" s="71" t="s">
        <v>357</v>
      </c>
      <c r="O111" s="71" t="str">
        <f>VLOOKUP(A111,Hoja4!$A$2:$B$247,2,FALSE)</f>
        <v>LUCY PAOLA REYES CARDENAS </v>
      </c>
      <c r="P111" s="71" t="s">
        <v>238</v>
      </c>
      <c r="Q111" s="73" t="s">
        <v>293</v>
      </c>
      <c r="R111" s="71" t="s">
        <v>358</v>
      </c>
      <c r="U111" s="75"/>
      <c r="W111" s="75"/>
      <c r="Y111" s="75" t="s">
        <v>204</v>
      </c>
      <c r="Z111" s="71" t="s">
        <v>221</v>
      </c>
      <c r="AA111" s="71" t="s">
        <v>198</v>
      </c>
      <c r="AB111" s="71" t="s">
        <v>266</v>
      </c>
      <c r="AC111" s="75"/>
      <c r="AE111" s="71" t="s">
        <v>206</v>
      </c>
      <c r="AF111" s="71" t="s">
        <v>227</v>
      </c>
      <c r="AH111" s="76"/>
      <c r="AK111" s="71" t="s">
        <v>209</v>
      </c>
      <c r="AL111" s="75" t="s">
        <v>332</v>
      </c>
      <c r="AM111" s="71"/>
      <c r="AN111" s="71"/>
      <c r="AO111" s="71"/>
      <c r="AP111" s="71"/>
      <c r="AQ111" s="71"/>
      <c r="AS111" s="71" t="s">
        <v>196</v>
      </c>
      <c r="AT111" s="75" t="s">
        <v>244</v>
      </c>
      <c r="AV111" s="75" t="s">
        <v>218</v>
      </c>
      <c r="AW111" s="75" t="s">
        <v>254</v>
      </c>
      <c r="AX111" s="75" t="str">
        <f t="shared" si="9"/>
        <v>CINDY YOHANA BOHORQUEZ GARZON</v>
      </c>
      <c r="BA111" s="75" t="s">
        <v>200</v>
      </c>
      <c r="BB111" s="75" t="str">
        <f t="shared" si="10"/>
        <v>ELKIN DURAN MANCIPE</v>
      </c>
      <c r="BE111" s="75" t="s">
        <v>242</v>
      </c>
      <c r="BF111" s="75" t="s">
        <v>243</v>
      </c>
      <c r="BK111" s="71" t="s">
        <v>336</v>
      </c>
      <c r="BL111" s="71" t="str">
        <v>INV SST</v>
      </c>
    </row>
    <row r="112" spans="1:64" x14ac:dyDescent="0.25">
      <c r="A112" s="70">
        <v>3070361</v>
      </c>
      <c r="B112" s="71" t="s">
        <v>245</v>
      </c>
      <c r="C112" s="71">
        <v>36</v>
      </c>
      <c r="D112" s="72" t="s">
        <v>100</v>
      </c>
      <c r="E112" s="73" t="s">
        <v>108</v>
      </c>
      <c r="F112" s="74">
        <f t="shared" si="6"/>
        <v>46188</v>
      </c>
      <c r="G112" s="73" t="s">
        <v>109</v>
      </c>
      <c r="H112" s="73" t="s">
        <v>356</v>
      </c>
      <c r="I112" s="71" t="s">
        <v>356</v>
      </c>
      <c r="J112" s="71" t="s">
        <v>261</v>
      </c>
      <c r="M112" s="70" t="s">
        <v>356</v>
      </c>
      <c r="N112" s="71" t="s">
        <v>357</v>
      </c>
      <c r="O112" s="71" t="str">
        <f>VLOOKUP(A112,Hoja4!$A$2:$B$247,2,FALSE)</f>
        <v>LUCY PAOLA REYES CARDENAS </v>
      </c>
      <c r="P112" s="71" t="s">
        <v>238</v>
      </c>
      <c r="Q112" s="73" t="s">
        <v>293</v>
      </c>
      <c r="R112" s="71" t="s">
        <v>358</v>
      </c>
      <c r="U112" s="75"/>
      <c r="W112" s="75"/>
      <c r="Y112" s="75" t="s">
        <v>204</v>
      </c>
      <c r="Z112" s="71" t="s">
        <v>269</v>
      </c>
      <c r="AA112" s="71" t="s">
        <v>198</v>
      </c>
      <c r="AB112" s="71" t="s">
        <v>199</v>
      </c>
      <c r="AC112" s="75"/>
      <c r="AE112" s="71" t="s">
        <v>206</v>
      </c>
      <c r="AF112" s="71" t="s">
        <v>213</v>
      </c>
      <c r="AH112" s="76"/>
      <c r="AK112" s="71" t="s">
        <v>209</v>
      </c>
      <c r="AL112" s="75" t="s">
        <v>226</v>
      </c>
      <c r="AM112" s="71"/>
      <c r="AN112" s="71"/>
      <c r="AO112" s="71"/>
      <c r="AP112" s="71"/>
      <c r="AQ112" s="71"/>
      <c r="AS112" s="71" t="s">
        <v>196</v>
      </c>
      <c r="AT112" s="75" t="s">
        <v>197</v>
      </c>
      <c r="AV112" s="75" t="s">
        <v>218</v>
      </c>
      <c r="AW112" s="75" t="s">
        <v>254</v>
      </c>
      <c r="AX112" s="75" t="str">
        <f t="shared" si="9"/>
        <v>CINDY YOHANA BOHORQUEZ GARZON</v>
      </c>
      <c r="BA112" s="75" t="s">
        <v>200</v>
      </c>
      <c r="BB112" s="75" t="str">
        <f t="shared" si="10"/>
        <v>JULIANA HERNANDEZ BARRERA</v>
      </c>
      <c r="BE112" s="75" t="s">
        <v>242</v>
      </c>
      <c r="BF112" s="75" t="s">
        <v>243</v>
      </c>
      <c r="BI112" s="75" t="s">
        <v>206</v>
      </c>
      <c r="BJ112" s="75" t="s">
        <v>213</v>
      </c>
      <c r="BK112" s="71" t="s">
        <v>336</v>
      </c>
      <c r="BL112" s="71" t="str">
        <v>INV SST</v>
      </c>
    </row>
    <row r="113" spans="1:64" x14ac:dyDescent="0.25">
      <c r="A113" s="70">
        <v>3070362</v>
      </c>
      <c r="B113" s="71" t="s">
        <v>245</v>
      </c>
      <c r="C113" s="71">
        <v>32</v>
      </c>
      <c r="D113" s="72" t="s">
        <v>100</v>
      </c>
      <c r="E113" s="73" t="s">
        <v>108</v>
      </c>
      <c r="F113" s="74">
        <f t="shared" si="6"/>
        <v>46188</v>
      </c>
      <c r="G113" s="73" t="s">
        <v>109</v>
      </c>
      <c r="H113" s="73" t="s">
        <v>356</v>
      </c>
      <c r="I113" s="71" t="s">
        <v>356</v>
      </c>
      <c r="J113" s="71" t="s">
        <v>261</v>
      </c>
      <c r="M113" s="70" t="s">
        <v>356</v>
      </c>
      <c r="N113" s="71" t="s">
        <v>357</v>
      </c>
      <c r="O113" s="71" t="str">
        <f>VLOOKUP(A113,Hoja4!$A$2:$B$247,2,FALSE)</f>
        <v>LUCY PAOLA REYES CARDENAS </v>
      </c>
      <c r="P113" s="71" t="s">
        <v>238</v>
      </c>
      <c r="Q113" s="73" t="s">
        <v>293</v>
      </c>
      <c r="R113" s="71" t="s">
        <v>358</v>
      </c>
      <c r="U113" s="75"/>
      <c r="W113" s="75"/>
      <c r="Y113" s="75" t="s">
        <v>204</v>
      </c>
      <c r="Z113" s="71" t="s">
        <v>221</v>
      </c>
      <c r="AA113" s="71" t="s">
        <v>198</v>
      </c>
      <c r="AB113" s="71" t="s">
        <v>266</v>
      </c>
      <c r="AC113" s="75"/>
      <c r="AE113" s="71" t="s">
        <v>206</v>
      </c>
      <c r="AF113" s="71" t="s">
        <v>213</v>
      </c>
      <c r="AH113" s="76"/>
      <c r="AK113" s="71" t="s">
        <v>209</v>
      </c>
      <c r="AL113" s="75" t="s">
        <v>226</v>
      </c>
      <c r="AM113" s="71"/>
      <c r="AN113" s="71"/>
      <c r="AO113" s="71"/>
      <c r="AP113" s="71"/>
      <c r="AQ113" s="71"/>
      <c r="AS113" s="71" t="s">
        <v>196</v>
      </c>
      <c r="AT113" s="75" t="s">
        <v>197</v>
      </c>
      <c r="AV113" s="75" t="s">
        <v>218</v>
      </c>
      <c r="AW113" s="75" t="s">
        <v>254</v>
      </c>
      <c r="AX113" s="75" t="str">
        <f t="shared" si="9"/>
        <v>CINDY YOHANA BOHORQUEZ GARZON</v>
      </c>
      <c r="BA113" s="75" t="s">
        <v>200</v>
      </c>
      <c r="BB113" s="75" t="str">
        <f t="shared" si="10"/>
        <v>WILDER JULIAN ARIAS HERNANDEZ</v>
      </c>
      <c r="BE113" s="75" t="s">
        <v>242</v>
      </c>
      <c r="BF113" s="75" t="s">
        <v>243</v>
      </c>
      <c r="BI113" s="75" t="s">
        <v>206</v>
      </c>
      <c r="BJ113" s="75" t="s">
        <v>213</v>
      </c>
      <c r="BK113" s="71" t="s">
        <v>206</v>
      </c>
      <c r="BL113" s="71" t="str">
        <v>SST</v>
      </c>
    </row>
    <row r="114" spans="1:64" x14ac:dyDescent="0.25">
      <c r="A114" s="70">
        <v>3070363</v>
      </c>
      <c r="B114" s="71" t="s">
        <v>245</v>
      </c>
      <c r="C114" s="71">
        <v>32</v>
      </c>
      <c r="D114" s="72" t="s">
        <v>100</v>
      </c>
      <c r="E114" s="73" t="s">
        <v>108</v>
      </c>
      <c r="F114" s="74">
        <f t="shared" si="6"/>
        <v>46188</v>
      </c>
      <c r="G114" s="73" t="s">
        <v>109</v>
      </c>
      <c r="H114" s="73" t="s">
        <v>356</v>
      </c>
      <c r="I114" s="71" t="s">
        <v>356</v>
      </c>
      <c r="J114" s="71" t="s">
        <v>261</v>
      </c>
      <c r="M114" s="70" t="s">
        <v>356</v>
      </c>
      <c r="N114" s="71" t="s">
        <v>357</v>
      </c>
      <c r="O114" s="71" t="str">
        <f>VLOOKUP(A114,Hoja4!$A$2:$B$247,2,FALSE)</f>
        <v>LUCY PAOLA REYES CARDENAS </v>
      </c>
      <c r="P114" s="71" t="s">
        <v>238</v>
      </c>
      <c r="Q114" s="73" t="s">
        <v>293</v>
      </c>
      <c r="R114" s="71" t="s">
        <v>358</v>
      </c>
      <c r="U114" s="75"/>
      <c r="W114" s="75"/>
      <c r="Y114" s="75" t="s">
        <v>204</v>
      </c>
      <c r="Z114" s="71" t="s">
        <v>275</v>
      </c>
      <c r="AA114" s="71" t="s">
        <v>198</v>
      </c>
      <c r="AB114" s="71" t="s">
        <v>199</v>
      </c>
      <c r="AC114" s="75"/>
      <c r="AE114" s="71" t="s">
        <v>206</v>
      </c>
      <c r="AF114" s="71" t="s">
        <v>227</v>
      </c>
      <c r="AG114" s="71" t="s">
        <v>242</v>
      </c>
      <c r="AH114" s="76" t="s">
        <v>243</v>
      </c>
      <c r="AK114" s="71" t="s">
        <v>209</v>
      </c>
      <c r="AL114" s="75" t="s">
        <v>236</v>
      </c>
      <c r="AM114" s="71"/>
      <c r="AN114" s="71"/>
      <c r="AO114" s="71"/>
      <c r="AP114" s="71"/>
      <c r="AQ114" s="71"/>
      <c r="AS114" s="71" t="s">
        <v>196</v>
      </c>
      <c r="AT114" s="75" t="s">
        <v>197</v>
      </c>
      <c r="AV114" s="75" t="s">
        <v>218</v>
      </c>
      <c r="AW114" s="75" t="s">
        <v>254</v>
      </c>
      <c r="AX114" s="75" t="str">
        <f t="shared" si="9"/>
        <v>CINDY YOHANA BOHORQUEZ GARZON</v>
      </c>
      <c r="BA114" s="75" t="s">
        <v>200</v>
      </c>
      <c r="BB114" s="75" t="str">
        <f t="shared" si="10"/>
        <v>ELKIN DURAN MANCIPE</v>
      </c>
      <c r="BE114" s="75" t="s">
        <v>208</v>
      </c>
      <c r="BF114" s="75" t="s">
        <v>239</v>
      </c>
      <c r="BK114" s="71" t="s">
        <v>344</v>
      </c>
      <c r="BL114" s="71" t="str">
        <v>CIE SST</v>
      </c>
    </row>
    <row r="115" spans="1:64" x14ac:dyDescent="0.25">
      <c r="A115" s="70">
        <v>3070364</v>
      </c>
      <c r="B115" s="71" t="s">
        <v>245</v>
      </c>
      <c r="C115" s="71">
        <v>36</v>
      </c>
      <c r="D115" s="72" t="s">
        <v>100</v>
      </c>
      <c r="E115" s="73" t="s">
        <v>108</v>
      </c>
      <c r="F115" s="74">
        <f t="shared" si="6"/>
        <v>46188</v>
      </c>
      <c r="G115" s="73" t="s">
        <v>109</v>
      </c>
      <c r="H115" s="73" t="s">
        <v>356</v>
      </c>
      <c r="I115" s="71" t="s">
        <v>356</v>
      </c>
      <c r="J115" s="71" t="s">
        <v>261</v>
      </c>
      <c r="M115" s="70" t="s">
        <v>356</v>
      </c>
      <c r="N115" s="71" t="s">
        <v>357</v>
      </c>
      <c r="O115" s="71" t="str">
        <f>VLOOKUP(A115,Hoja4!$A$2:$B$247,2,FALSE)</f>
        <v>HELDA MARINA SEPULVEDA VEGA         </v>
      </c>
      <c r="P115" s="71" t="s">
        <v>238</v>
      </c>
      <c r="Q115" s="73" t="s">
        <v>293</v>
      </c>
      <c r="R115" s="71" t="s">
        <v>358</v>
      </c>
      <c r="U115" s="75"/>
      <c r="W115" s="75"/>
      <c r="Y115" s="75" t="s">
        <v>204</v>
      </c>
      <c r="Z115" s="71" t="s">
        <v>258</v>
      </c>
      <c r="AA115" s="71" t="s">
        <v>198</v>
      </c>
      <c r="AB115" s="71" t="s">
        <v>266</v>
      </c>
      <c r="AC115" s="75"/>
      <c r="AE115" s="71" t="s">
        <v>206</v>
      </c>
      <c r="AF115" s="71" t="s">
        <v>213</v>
      </c>
      <c r="AG115" s="71" t="s">
        <v>242</v>
      </c>
      <c r="AH115" s="76" t="s">
        <v>243</v>
      </c>
      <c r="AK115" s="71" t="s">
        <v>209</v>
      </c>
      <c r="AL115" s="75" t="s">
        <v>228</v>
      </c>
      <c r="AM115" s="71"/>
      <c r="AN115" s="71"/>
      <c r="AO115" s="71"/>
      <c r="AP115" s="71"/>
      <c r="AQ115" s="71"/>
      <c r="AS115" s="71" t="s">
        <v>196</v>
      </c>
      <c r="AT115" s="75" t="s">
        <v>219</v>
      </c>
      <c r="AV115" s="75" t="s">
        <v>218</v>
      </c>
      <c r="AW115" s="75" t="s">
        <v>254</v>
      </c>
      <c r="AX115" s="75" t="str">
        <f t="shared" si="9"/>
        <v>CINDY YOHANA BOHORQUEZ GARZON</v>
      </c>
      <c r="BA115" s="75" t="s">
        <v>200</v>
      </c>
      <c r="BB115" s="75" t="str">
        <f t="shared" si="10"/>
        <v>JULIANA HERNANDEZ BARRERA</v>
      </c>
      <c r="BE115" s="75" t="s">
        <v>208</v>
      </c>
      <c r="BF115" s="75" t="s">
        <v>239</v>
      </c>
      <c r="BK115" s="71" t="s">
        <v>344</v>
      </c>
      <c r="BL115" s="71" t="str">
        <v>CIE SST</v>
      </c>
    </row>
    <row r="116" spans="1:64" x14ac:dyDescent="0.25">
      <c r="A116" s="70">
        <v>3297708</v>
      </c>
      <c r="B116" s="71" t="s">
        <v>190</v>
      </c>
      <c r="C116" s="71">
        <v>70</v>
      </c>
      <c r="D116" s="72" t="s">
        <v>87</v>
      </c>
      <c r="E116" s="73" t="s">
        <v>110</v>
      </c>
      <c r="F116" s="74">
        <v>46197</v>
      </c>
      <c r="G116" s="73" t="s">
        <v>111</v>
      </c>
      <c r="M116" s="82" t="s">
        <v>240</v>
      </c>
      <c r="O116" s="71" t="str">
        <f>VLOOKUP(A116,Hoja4!$A$2:$B$247,2,FALSE)</f>
        <v>MONICA ANDRADE RIOS</v>
      </c>
      <c r="Q116" s="73" t="s">
        <v>359</v>
      </c>
      <c r="AX116" s="75" t="str">
        <f t="shared" si="9"/>
        <v/>
      </c>
      <c r="BA116" s="75" t="s">
        <v>198</v>
      </c>
      <c r="BB116" s="75" t="str">
        <f t="shared" si="10"/>
        <v>CRISTINA CASTAÑO CASTILLO</v>
      </c>
      <c r="BE116" s="75" t="s">
        <v>209</v>
      </c>
      <c r="BF116" s="75" t="s">
        <v>236</v>
      </c>
      <c r="BK116" s="75" t="s">
        <v>349</v>
      </c>
      <c r="BL116" s="75" t="str">
        <v>CIE SST CUL</v>
      </c>
    </row>
    <row r="117" spans="1:64" x14ac:dyDescent="0.25">
      <c r="A117" s="70">
        <v>3334496</v>
      </c>
      <c r="B117" s="71" t="s">
        <v>190</v>
      </c>
      <c r="C117" s="71">
        <v>74</v>
      </c>
      <c r="D117" s="72" t="s">
        <v>87</v>
      </c>
      <c r="E117" s="73" t="s">
        <v>112</v>
      </c>
      <c r="F117" s="74">
        <v>46197</v>
      </c>
      <c r="G117" s="73" t="s">
        <v>113</v>
      </c>
      <c r="M117" s="82" t="s">
        <v>240</v>
      </c>
      <c r="O117" s="71" t="str">
        <f>VLOOKUP(A117,Hoja4!$A$2:$B$247,2,FALSE)</f>
        <v>MONICA ANDRADE RIOS</v>
      </c>
      <c r="Q117" s="73" t="s">
        <v>359</v>
      </c>
      <c r="AX117" s="75" t="str">
        <f t="shared" si="9"/>
        <v/>
      </c>
      <c r="BA117" s="75" t="s">
        <v>198</v>
      </c>
      <c r="BB117" s="75" t="str">
        <f t="shared" si="10"/>
        <v>ANGELICA JANETH RODRIGUEZ ALONSO</v>
      </c>
      <c r="BE117" s="75" t="s">
        <v>209</v>
      </c>
      <c r="BF117" s="75" t="s">
        <v>236</v>
      </c>
      <c r="BK117" s="75" t="s">
        <v>349</v>
      </c>
      <c r="BL117" s="75" t="str">
        <v>CIE SST CUL</v>
      </c>
    </row>
    <row r="118" spans="1:64" x14ac:dyDescent="0.25">
      <c r="A118" s="70">
        <v>3336285</v>
      </c>
      <c r="B118" s="71" t="s">
        <v>190</v>
      </c>
      <c r="C118" s="71">
        <v>56</v>
      </c>
      <c r="D118" s="72" t="s">
        <v>93</v>
      </c>
      <c r="E118" s="73" t="s">
        <v>114</v>
      </c>
      <c r="F118" s="74">
        <v>46201</v>
      </c>
      <c r="G118" s="73" t="s">
        <v>115</v>
      </c>
      <c r="K118" s="82" t="s">
        <v>191</v>
      </c>
      <c r="M118" s="82" t="s">
        <v>191</v>
      </c>
      <c r="O118" s="71" t="str">
        <f>VLOOKUP(A118,Hoja4!$A$2:$B$247,2,FALSE)</f>
        <v>LUZ MERY ROZO GUTIERREZ      </v>
      </c>
      <c r="Q118" s="73" t="s">
        <v>360</v>
      </c>
      <c r="BA118" s="75" t="s">
        <v>198</v>
      </c>
      <c r="BB118" s="75" t="str">
        <f t="shared" si="10"/>
        <v>CRISTINA CASTAÑO CASTILLO</v>
      </c>
      <c r="BE118" s="75" t="s">
        <v>242</v>
      </c>
      <c r="BF118" s="75" t="s">
        <v>243</v>
      </c>
      <c r="BK118" s="73" t="s">
        <v>349</v>
      </c>
      <c r="BL118" s="73" t="str">
        <v>SST CUL</v>
      </c>
    </row>
    <row r="119" spans="1:64" x14ac:dyDescent="0.25">
      <c r="A119" s="70">
        <v>3336286</v>
      </c>
      <c r="B119" s="71" t="s">
        <v>190</v>
      </c>
      <c r="C119" s="71">
        <v>43</v>
      </c>
      <c r="D119" s="72" t="s">
        <v>93</v>
      </c>
      <c r="E119" s="73" t="s">
        <v>114</v>
      </c>
      <c r="F119" s="74">
        <v>46201</v>
      </c>
      <c r="G119" s="73" t="s">
        <v>115</v>
      </c>
      <c r="K119" s="82" t="s">
        <v>230</v>
      </c>
      <c r="M119" s="82" t="s">
        <v>230</v>
      </c>
      <c r="O119" s="71" t="str">
        <f>VLOOKUP(A119,Hoja4!$A$2:$B$247,2,FALSE)</f>
        <v>LUZ MERY ROZO GUTIERREZ      </v>
      </c>
      <c r="Q119" s="73" t="s">
        <v>360</v>
      </c>
      <c r="BA119" s="75" t="s">
        <v>198</v>
      </c>
      <c r="BB119" s="75" t="str">
        <f t="shared" si="10"/>
        <v>SONIA PATRICIA CASTAÑEDA CAYCEDO</v>
      </c>
      <c r="BE119" s="75" t="s">
        <v>208</v>
      </c>
      <c r="BF119" s="75" t="s">
        <v>239</v>
      </c>
      <c r="BK119" s="73" t="s">
        <v>354</v>
      </c>
      <c r="BL119" s="73" t="str">
        <v>CIE SST EMP CUL</v>
      </c>
    </row>
    <row r="120" spans="1:64" x14ac:dyDescent="0.25">
      <c r="A120" s="70">
        <v>3336287</v>
      </c>
      <c r="B120" s="71" t="s">
        <v>190</v>
      </c>
      <c r="C120" s="71">
        <v>40</v>
      </c>
      <c r="D120" s="72" t="s">
        <v>93</v>
      </c>
      <c r="E120" s="73" t="s">
        <v>114</v>
      </c>
      <c r="F120" s="74">
        <v>46201</v>
      </c>
      <c r="G120" s="73" t="s">
        <v>115</v>
      </c>
      <c r="K120" s="82" t="s">
        <v>191</v>
      </c>
      <c r="M120" s="82" t="s">
        <v>191</v>
      </c>
      <c r="O120" s="71" t="str">
        <f>VLOOKUP(A120,Hoja4!$A$2:$B$247,2,FALSE)</f>
        <v>LUZ MERY ROZO GUTIERREZ      </v>
      </c>
      <c r="Q120" s="73" t="s">
        <v>360</v>
      </c>
      <c r="BA120" s="75" t="s">
        <v>198</v>
      </c>
      <c r="BB120" s="75" t="str">
        <f t="shared" si="10"/>
        <v>ERICK RUIZ NOREÑA</v>
      </c>
      <c r="BE120" s="75" t="s">
        <v>242</v>
      </c>
      <c r="BF120" s="75" t="s">
        <v>243</v>
      </c>
      <c r="BK120" s="73" t="s">
        <v>349</v>
      </c>
      <c r="BL120" s="73" t="str">
        <v>SST CUL</v>
      </c>
    </row>
    <row r="121" spans="1:64" x14ac:dyDescent="0.25">
      <c r="A121" s="70">
        <v>3336288</v>
      </c>
      <c r="B121" s="71" t="s">
        <v>190</v>
      </c>
      <c r="C121" s="71">
        <v>44</v>
      </c>
      <c r="D121" s="72" t="s">
        <v>93</v>
      </c>
      <c r="E121" s="73" t="s">
        <v>114</v>
      </c>
      <c r="F121" s="74">
        <v>46201</v>
      </c>
      <c r="G121" s="73" t="s">
        <v>115</v>
      </c>
      <c r="K121" s="82" t="s">
        <v>191</v>
      </c>
      <c r="M121" s="82" t="s">
        <v>191</v>
      </c>
      <c r="O121" s="71" t="str">
        <f>VLOOKUP(A121,Hoja4!$A$2:$B$247,2,FALSE)</f>
        <v>LUZ MERY ROZO GUTIERREZ      </v>
      </c>
      <c r="Q121" s="73" t="s">
        <v>360</v>
      </c>
      <c r="BA121" s="75" t="s">
        <v>198</v>
      </c>
      <c r="BB121" s="75" t="str">
        <f t="shared" si="10"/>
        <v>ERICK RUIZ NOREÑA</v>
      </c>
      <c r="BE121" s="75" t="s">
        <v>242</v>
      </c>
      <c r="BF121" s="75" t="s">
        <v>243</v>
      </c>
      <c r="BK121" s="73" t="s">
        <v>349</v>
      </c>
      <c r="BL121" s="73" t="str">
        <v>SST CUL</v>
      </c>
    </row>
    <row r="122" spans="1:64" x14ac:dyDescent="0.25">
      <c r="A122" s="70">
        <v>3118311</v>
      </c>
      <c r="B122" s="71" t="s">
        <v>245</v>
      </c>
      <c r="C122" s="71">
        <v>37</v>
      </c>
      <c r="D122" s="72" t="s">
        <v>271</v>
      </c>
      <c r="E122" s="73" t="s">
        <v>116</v>
      </c>
      <c r="F122" s="74">
        <f t="shared" ref="F122:F185" si="11">IF(
OR(((ROUND((G122-E122)/30,0))=27),((ROUND((G122-E122)/30,0))=15)),
EDATE(G122,-6),
IF(
(ROUND((G122-E122)/30,0))=12,
EDATE(G122,-3),
IF(
(ROUND((G122-E122)/30,0))=9,
EDATE(G122,0),"CALCULAR")))</f>
        <v>46251</v>
      </c>
      <c r="G122" s="73" t="s">
        <v>117</v>
      </c>
      <c r="H122" s="73" t="s">
        <v>284</v>
      </c>
      <c r="J122" s="71" t="s">
        <v>226</v>
      </c>
      <c r="M122" s="70" t="s">
        <v>284</v>
      </c>
      <c r="N122" s="71" t="s">
        <v>361</v>
      </c>
      <c r="O122" s="71" t="str">
        <f>VLOOKUP(A122,Hoja4!$A$2:$B$247,2,FALSE)</f>
        <v>ANDRES RUBIANO CUCARIAN</v>
      </c>
      <c r="P122" s="71" t="s">
        <v>329</v>
      </c>
      <c r="Q122" s="73" t="s">
        <v>274</v>
      </c>
      <c r="R122" s="71" t="s">
        <v>274</v>
      </c>
      <c r="U122" s="75"/>
      <c r="W122" s="75"/>
      <c r="Y122" s="75"/>
      <c r="AC122" s="75"/>
      <c r="AE122" s="71" t="s">
        <v>208</v>
      </c>
      <c r="AF122" s="71" t="s">
        <v>235</v>
      </c>
      <c r="AG122" s="71" t="s">
        <v>204</v>
      </c>
      <c r="AH122" s="76" t="s">
        <v>221</v>
      </c>
      <c r="AK122" s="71" t="s">
        <v>198</v>
      </c>
      <c r="AL122" s="75" t="s">
        <v>199</v>
      </c>
      <c r="AM122" s="71"/>
      <c r="AN122" s="71"/>
      <c r="AO122" s="71" t="s">
        <v>200</v>
      </c>
      <c r="AP122" s="71" t="s">
        <v>201</v>
      </c>
      <c r="AQ122" s="71"/>
      <c r="AS122" s="71" t="s">
        <v>209</v>
      </c>
      <c r="AT122" s="75" t="s">
        <v>228</v>
      </c>
      <c r="AV122" s="75" t="s">
        <v>218</v>
      </c>
      <c r="AW122" s="75" t="s">
        <v>202</v>
      </c>
      <c r="AX122" s="75" t="str">
        <f t="shared" ref="AX122:AX153" si="12">IFERROR(VLOOKUP(A122,_p7_2025,2,FALSE),"")</f>
        <v>MELISSA ANDREA LAITON GARNICA</v>
      </c>
      <c r="BA122" s="75" t="s">
        <v>194</v>
      </c>
      <c r="BB122" s="75" t="str">
        <f t="shared" si="10"/>
        <v>CAMILO ERNESTO CALDERON GALINDO</v>
      </c>
      <c r="BE122" s="75" t="s">
        <v>206</v>
      </c>
      <c r="BF122" s="75" t="s">
        <v>207</v>
      </c>
      <c r="BK122" s="73" t="s">
        <v>354</v>
      </c>
      <c r="BL122" s="73" t="str">
        <v>CIE EMP CUL</v>
      </c>
    </row>
    <row r="123" spans="1:64" x14ac:dyDescent="0.25">
      <c r="A123" s="70">
        <v>3118374</v>
      </c>
      <c r="B123" s="71" t="s">
        <v>245</v>
      </c>
      <c r="C123" s="71">
        <v>44</v>
      </c>
      <c r="D123" s="72" t="s">
        <v>101</v>
      </c>
      <c r="E123" s="73" t="s">
        <v>116</v>
      </c>
      <c r="F123" s="74">
        <f t="shared" si="11"/>
        <v>46251</v>
      </c>
      <c r="G123" s="73" t="s">
        <v>117</v>
      </c>
      <c r="H123" s="73" t="s">
        <v>362</v>
      </c>
      <c r="J123" s="71" t="s">
        <v>227</v>
      </c>
      <c r="M123" s="70" t="s">
        <v>362</v>
      </c>
      <c r="O123" s="71" t="str">
        <f>VLOOKUP(A123,Hoja4!$A$2:$B$247,2,FALSE)</f>
        <v xml:space="preserve">GRACIELA MARTINEZ JIMENEZ  </v>
      </c>
      <c r="P123" s="71" t="s">
        <v>233</v>
      </c>
      <c r="Q123" s="73" t="s">
        <v>297</v>
      </c>
      <c r="R123" s="71" t="s">
        <v>297</v>
      </c>
      <c r="U123" s="75"/>
      <c r="W123" s="75"/>
      <c r="Y123" s="75"/>
      <c r="AC123" s="75" t="s">
        <v>254</v>
      </c>
      <c r="AD123" s="71" t="s">
        <v>255</v>
      </c>
      <c r="AE123" s="71" t="s">
        <v>204</v>
      </c>
      <c r="AF123" s="71" t="s">
        <v>205</v>
      </c>
      <c r="AG123" s="71" t="s">
        <v>208</v>
      </c>
      <c r="AH123" s="76" t="s">
        <v>235</v>
      </c>
      <c r="AK123" s="71" t="s">
        <v>196</v>
      </c>
      <c r="AL123" s="75" t="s">
        <v>281</v>
      </c>
      <c r="AM123" s="71"/>
      <c r="AN123" s="71"/>
      <c r="AO123" s="71"/>
      <c r="AP123" s="71"/>
      <c r="AQ123" s="71"/>
      <c r="AS123" s="71" t="s">
        <v>198</v>
      </c>
      <c r="AT123" s="75" t="s">
        <v>253</v>
      </c>
      <c r="AV123" s="75" t="s">
        <v>218</v>
      </c>
      <c r="AW123" s="75" t="s">
        <v>200</v>
      </c>
      <c r="AX123" s="75" t="str">
        <f t="shared" si="12"/>
        <v>ELKIN DURAN MANCIPE</v>
      </c>
      <c r="BA123" s="75" t="s">
        <v>209</v>
      </c>
      <c r="BB123" s="75" t="str">
        <f t="shared" si="10"/>
        <v>ALBERTO ANTONIO TAPIA TORRES</v>
      </c>
      <c r="BE123" s="75" t="s">
        <v>202</v>
      </c>
      <c r="BF123" s="75" t="s">
        <v>203</v>
      </c>
      <c r="BK123" s="73" t="s">
        <v>363</v>
      </c>
      <c r="BL123" s="73" t="str">
        <v>INV FIS SST</v>
      </c>
    </row>
    <row r="124" spans="1:64" x14ac:dyDescent="0.25">
      <c r="A124" s="70">
        <v>3118406</v>
      </c>
      <c r="B124" s="71" t="s">
        <v>245</v>
      </c>
      <c r="C124" s="71">
        <v>44</v>
      </c>
      <c r="D124" s="72" t="s">
        <v>99</v>
      </c>
      <c r="E124" s="73" t="s">
        <v>116</v>
      </c>
      <c r="F124" s="74">
        <f t="shared" si="11"/>
        <v>46251</v>
      </c>
      <c r="G124" s="73" t="s">
        <v>117</v>
      </c>
      <c r="H124" s="73" t="s">
        <v>268</v>
      </c>
      <c r="J124" s="71" t="s">
        <v>261</v>
      </c>
      <c r="M124" s="70" t="s">
        <v>262</v>
      </c>
      <c r="O124" s="71" t="str">
        <f>VLOOKUP(A124,Hoja4!$A$2:$B$247,2,FALSE)</f>
        <v xml:space="preserve">WANDA POSADA PAZ    </v>
      </c>
      <c r="P124" s="71" t="s">
        <v>231</v>
      </c>
      <c r="Q124" s="73" t="s">
        <v>263</v>
      </c>
      <c r="R124" s="71" t="s">
        <v>263</v>
      </c>
      <c r="U124" s="75"/>
      <c r="W124" s="75"/>
      <c r="Y124" s="75"/>
      <c r="AC124" s="75" t="s">
        <v>204</v>
      </c>
      <c r="AD124" s="71" t="s">
        <v>221</v>
      </c>
      <c r="AE124" s="71" t="s">
        <v>206</v>
      </c>
      <c r="AF124" s="71" t="s">
        <v>213</v>
      </c>
      <c r="AG124" s="71" t="s">
        <v>198</v>
      </c>
      <c r="AH124" s="76" t="s">
        <v>253</v>
      </c>
      <c r="AK124" s="71" t="s">
        <v>209</v>
      </c>
      <c r="AL124" s="75" t="s">
        <v>226</v>
      </c>
      <c r="AM124" s="71"/>
      <c r="AN124" s="71"/>
      <c r="AO124" s="71" t="s">
        <v>208</v>
      </c>
      <c r="AP124" s="71" t="s">
        <v>235</v>
      </c>
      <c r="AQ124" s="71"/>
      <c r="AS124" s="71" t="s">
        <v>196</v>
      </c>
      <c r="AT124" s="75" t="s">
        <v>244</v>
      </c>
      <c r="AV124" s="75" t="s">
        <v>218</v>
      </c>
      <c r="AW124" s="75" t="s">
        <v>200</v>
      </c>
      <c r="AX124" s="75" t="str">
        <f t="shared" si="12"/>
        <v>ELKIN DURAN MANCIPE</v>
      </c>
      <c r="BE124" s="75" t="s">
        <v>202</v>
      </c>
      <c r="BF124" s="75" t="s">
        <v>203</v>
      </c>
      <c r="BK124" s="73" t="s">
        <v>363</v>
      </c>
      <c r="BL124" s="73" t="str">
        <v>INV FIS SST</v>
      </c>
    </row>
    <row r="125" spans="1:64" x14ac:dyDescent="0.25">
      <c r="A125" s="70">
        <v>3118491</v>
      </c>
      <c r="B125" s="71" t="s">
        <v>245</v>
      </c>
      <c r="C125" s="71">
        <v>41</v>
      </c>
      <c r="D125" s="72" t="s">
        <v>271</v>
      </c>
      <c r="E125" s="73" t="s">
        <v>116</v>
      </c>
      <c r="F125" s="74">
        <f t="shared" si="11"/>
        <v>46251</v>
      </c>
      <c r="G125" s="73" t="s">
        <v>117</v>
      </c>
      <c r="H125" s="73" t="s">
        <v>284</v>
      </c>
      <c r="J125" s="71" t="s">
        <v>226</v>
      </c>
      <c r="M125" s="70" t="s">
        <v>284</v>
      </c>
      <c r="N125" s="71" t="s">
        <v>361</v>
      </c>
      <c r="O125" s="71" t="str">
        <f>VLOOKUP(A125,Hoja4!$A$2:$B$247,2,FALSE)</f>
        <v>ANDRES RUBIANO CUCARIAN</v>
      </c>
      <c r="P125" s="71" t="s">
        <v>329</v>
      </c>
      <c r="Q125" s="73" t="s">
        <v>274</v>
      </c>
      <c r="R125" s="71" t="s">
        <v>274</v>
      </c>
      <c r="U125" s="75"/>
      <c r="W125" s="75"/>
      <c r="Y125" s="75"/>
      <c r="AC125" s="75"/>
      <c r="AE125" s="71" t="s">
        <v>208</v>
      </c>
      <c r="AF125" s="71" t="s">
        <v>239</v>
      </c>
      <c r="AG125" s="71" t="s">
        <v>204</v>
      </c>
      <c r="AH125" s="76" t="s">
        <v>221</v>
      </c>
      <c r="AK125" s="71" t="s">
        <v>198</v>
      </c>
      <c r="AL125" s="75" t="s">
        <v>199</v>
      </c>
      <c r="AM125" s="71"/>
      <c r="AN125" s="71"/>
      <c r="AO125" s="71" t="s">
        <v>200</v>
      </c>
      <c r="AP125" s="71" t="s">
        <v>201</v>
      </c>
      <c r="AQ125" s="71"/>
      <c r="AS125" s="71" t="s">
        <v>209</v>
      </c>
      <c r="AT125" s="75" t="s">
        <v>236</v>
      </c>
      <c r="AV125" s="75" t="s">
        <v>218</v>
      </c>
      <c r="AW125" s="75" t="s">
        <v>202</v>
      </c>
      <c r="AX125" s="75" t="str">
        <f t="shared" si="12"/>
        <v>CHRISTIAN CAMILO RODRIGUEZ SALAS</v>
      </c>
      <c r="BA125" s="75" t="s">
        <v>194</v>
      </c>
      <c r="BB125" s="75" t="str">
        <f>VLOOKUP(A125,_p8_2025,2,FALSE)</f>
        <v>CAMILO ERNESTO CALDERON GALINDO</v>
      </c>
      <c r="BE125" s="75" t="s">
        <v>206</v>
      </c>
      <c r="BF125" s="75" t="s">
        <v>207</v>
      </c>
      <c r="BK125" s="73" t="s">
        <v>364</v>
      </c>
      <c r="BL125" s="73" t="str">
        <v>COM INV FIS EMP</v>
      </c>
    </row>
    <row r="126" spans="1:64" x14ac:dyDescent="0.25">
      <c r="A126" s="70">
        <v>3118492</v>
      </c>
      <c r="B126" s="71" t="s">
        <v>245</v>
      </c>
      <c r="C126" s="71">
        <v>40</v>
      </c>
      <c r="D126" s="72" t="s">
        <v>271</v>
      </c>
      <c r="E126" s="73" t="s">
        <v>116</v>
      </c>
      <c r="F126" s="74">
        <f t="shared" si="11"/>
        <v>46251</v>
      </c>
      <c r="G126" s="73" t="s">
        <v>117</v>
      </c>
      <c r="H126" s="73" t="s">
        <v>284</v>
      </c>
      <c r="J126" s="71" t="s">
        <v>226</v>
      </c>
      <c r="M126" s="70" t="s">
        <v>284</v>
      </c>
      <c r="N126" s="71" t="s">
        <v>365</v>
      </c>
      <c r="O126" s="71" t="str">
        <f>VLOOKUP(A126,Hoja4!$A$2:$B$247,2,FALSE)</f>
        <v>ANDRES RUBIANO CUCARIAN</v>
      </c>
      <c r="P126" s="71" t="s">
        <v>329</v>
      </c>
      <c r="Q126" s="73" t="s">
        <v>274</v>
      </c>
      <c r="R126" s="71" t="s">
        <v>274</v>
      </c>
      <c r="U126" s="75"/>
      <c r="W126" s="75"/>
      <c r="Y126" s="75"/>
      <c r="AC126" s="75"/>
      <c r="AE126" s="71" t="s">
        <v>208</v>
      </c>
      <c r="AF126" s="71" t="s">
        <v>235</v>
      </c>
      <c r="AG126" s="71" t="s">
        <v>204</v>
      </c>
      <c r="AH126" s="76" t="s">
        <v>221</v>
      </c>
      <c r="AK126" s="71" t="s">
        <v>198</v>
      </c>
      <c r="AL126" s="75" t="s">
        <v>225</v>
      </c>
      <c r="AM126" s="71"/>
      <c r="AN126" s="71"/>
      <c r="AO126" s="71"/>
      <c r="AP126" s="71"/>
      <c r="AQ126" s="71"/>
      <c r="AS126" s="71" t="s">
        <v>209</v>
      </c>
      <c r="AT126" s="75" t="s">
        <v>226</v>
      </c>
      <c r="AV126" s="75" t="s">
        <v>218</v>
      </c>
      <c r="AW126" s="75" t="s">
        <v>200</v>
      </c>
      <c r="AX126" s="75" t="str">
        <f t="shared" si="12"/>
        <v>WILDER JULIAN ARIAS HERNANDEZ</v>
      </c>
      <c r="BA126" s="75" t="s">
        <v>202</v>
      </c>
      <c r="BB126" s="75" t="str">
        <f>VLOOKUP(A126,_p8_2025,2,FALSE)</f>
        <v>CHRISTIAN CAMILO RODRIGUEZ SALAS</v>
      </c>
      <c r="BE126" s="75" t="s">
        <v>194</v>
      </c>
      <c r="BF126" s="75" t="s">
        <v>195</v>
      </c>
      <c r="BK126" s="73" t="s">
        <v>364</v>
      </c>
      <c r="BL126" s="73" t="str">
        <v>COM INV EMP SST</v>
      </c>
    </row>
    <row r="127" spans="1:64" x14ac:dyDescent="0.25">
      <c r="A127" s="70">
        <v>3118493</v>
      </c>
      <c r="B127" s="71" t="s">
        <v>245</v>
      </c>
      <c r="C127" s="71">
        <v>41</v>
      </c>
      <c r="D127" s="72" t="s">
        <v>271</v>
      </c>
      <c r="E127" s="73" t="s">
        <v>116</v>
      </c>
      <c r="F127" s="74">
        <f t="shared" si="11"/>
        <v>46251</v>
      </c>
      <c r="G127" s="73" t="s">
        <v>117</v>
      </c>
      <c r="H127" s="73" t="s">
        <v>284</v>
      </c>
      <c r="J127" s="71" t="s">
        <v>226</v>
      </c>
      <c r="M127" s="70" t="s">
        <v>284</v>
      </c>
      <c r="N127" s="71" t="s">
        <v>365</v>
      </c>
      <c r="O127" s="71" t="str">
        <f>VLOOKUP(A127,Hoja4!$A$2:$B$247,2,FALSE)</f>
        <v>ANDRES RUBIANO CUCARIAN</v>
      </c>
      <c r="P127" s="71" t="s">
        <v>329</v>
      </c>
      <c r="Q127" s="73" t="s">
        <v>274</v>
      </c>
      <c r="R127" s="71" t="s">
        <v>274</v>
      </c>
      <c r="U127" s="75"/>
      <c r="W127" s="75"/>
      <c r="Y127" s="75"/>
      <c r="AC127" s="75"/>
      <c r="AE127" s="71" t="s">
        <v>208</v>
      </c>
      <c r="AF127" s="71" t="s">
        <v>239</v>
      </c>
      <c r="AG127" s="71" t="s">
        <v>204</v>
      </c>
      <c r="AH127" s="76" t="s">
        <v>217</v>
      </c>
      <c r="AK127" s="71" t="s">
        <v>200</v>
      </c>
      <c r="AL127" s="75" t="s">
        <v>201</v>
      </c>
      <c r="AM127" s="71"/>
      <c r="AN127" s="71"/>
      <c r="AO127" s="71"/>
      <c r="AP127" s="71"/>
      <c r="AQ127" s="71"/>
      <c r="AS127" s="71" t="s">
        <v>198</v>
      </c>
      <c r="AT127" s="75" t="s">
        <v>253</v>
      </c>
      <c r="AV127" s="75" t="s">
        <v>218</v>
      </c>
      <c r="AW127" s="75" t="s">
        <v>202</v>
      </c>
      <c r="AX127" s="75" t="str">
        <f t="shared" si="12"/>
        <v>MELISSA ANDREA LAITON GARNICA</v>
      </c>
      <c r="BA127" s="75" t="s">
        <v>209</v>
      </c>
      <c r="BB127" s="75" t="str">
        <f>VLOOKUP(A127,_p8_2025,2,FALSE)</f>
        <v>ESTEFANIA SANDOVAL CRUZ</v>
      </c>
      <c r="BE127" s="75" t="s">
        <v>194</v>
      </c>
      <c r="BF127" s="75" t="s">
        <v>195</v>
      </c>
      <c r="BK127" s="73" t="s">
        <v>366</v>
      </c>
      <c r="BL127" s="73" t="str">
        <v>INV EMP SST DER</v>
      </c>
    </row>
    <row r="128" spans="1:64" x14ac:dyDescent="0.25">
      <c r="A128" s="70">
        <v>3118494</v>
      </c>
      <c r="B128" s="71" t="s">
        <v>245</v>
      </c>
      <c r="C128" s="71">
        <v>42</v>
      </c>
      <c r="D128" s="72" t="s">
        <v>271</v>
      </c>
      <c r="E128" s="73" t="s">
        <v>116</v>
      </c>
      <c r="F128" s="74">
        <f t="shared" si="11"/>
        <v>46251</v>
      </c>
      <c r="G128" s="73" t="s">
        <v>117</v>
      </c>
      <c r="H128" s="73" t="s">
        <v>367</v>
      </c>
      <c r="J128" s="71" t="s">
        <v>226</v>
      </c>
      <c r="M128" s="70" t="s">
        <v>367</v>
      </c>
      <c r="N128" s="71" t="s">
        <v>365</v>
      </c>
      <c r="O128" s="71" t="str">
        <f>VLOOKUP(A128,Hoja4!$A$2:$B$247,2,FALSE)</f>
        <v>ALEX EDUARDO ZAMBRANO PEREZ        </v>
      </c>
      <c r="P128" s="71" t="s">
        <v>329</v>
      </c>
      <c r="Q128" s="73" t="s">
        <v>274</v>
      </c>
      <c r="R128" s="71" t="s">
        <v>274</v>
      </c>
      <c r="U128" s="75"/>
      <c r="W128" s="75"/>
      <c r="Y128" s="75"/>
      <c r="AC128" s="75"/>
      <c r="AE128" s="71" t="s">
        <v>208</v>
      </c>
      <c r="AF128" s="71" t="s">
        <v>235</v>
      </c>
      <c r="AG128" s="71" t="s">
        <v>204</v>
      </c>
      <c r="AH128" s="76" t="s">
        <v>205</v>
      </c>
      <c r="AK128" s="71" t="s">
        <v>200</v>
      </c>
      <c r="AL128" s="75" t="s">
        <v>214</v>
      </c>
      <c r="AM128" s="71"/>
      <c r="AN128" s="71"/>
      <c r="AO128" s="71"/>
      <c r="AP128" s="71"/>
      <c r="AQ128" s="71"/>
      <c r="AS128" s="71" t="s">
        <v>198</v>
      </c>
      <c r="AT128" s="75" t="s">
        <v>225</v>
      </c>
      <c r="AV128" s="75" t="s">
        <v>218</v>
      </c>
      <c r="AW128" s="75" t="s">
        <v>202</v>
      </c>
      <c r="AX128" s="75" t="str">
        <f t="shared" si="12"/>
        <v>MELISSA ANDREA LAITON GARNICA</v>
      </c>
      <c r="BA128" s="75" t="s">
        <v>209</v>
      </c>
      <c r="BB128" s="75" t="str">
        <f>VLOOKUP(A128,_p8_2025,2,FALSE)</f>
        <v>ALBERTO ANTONIO TAPIA TORRES</v>
      </c>
      <c r="BE128" s="75" t="s">
        <v>194</v>
      </c>
      <c r="BF128" s="75" t="s">
        <v>195</v>
      </c>
      <c r="BK128" s="73" t="s">
        <v>368</v>
      </c>
      <c r="BL128" s="73" t="str">
        <v>COM INV SST DER</v>
      </c>
    </row>
    <row r="129" spans="1:64" x14ac:dyDescent="0.25">
      <c r="A129" s="70">
        <v>3118495</v>
      </c>
      <c r="B129" s="71" t="s">
        <v>245</v>
      </c>
      <c r="C129" s="71">
        <v>39</v>
      </c>
      <c r="D129" s="72" t="s">
        <v>271</v>
      </c>
      <c r="E129" s="73" t="s">
        <v>116</v>
      </c>
      <c r="F129" s="74">
        <f t="shared" si="11"/>
        <v>46251</v>
      </c>
      <c r="G129" s="73" t="s">
        <v>117</v>
      </c>
      <c r="H129" s="73" t="s">
        <v>367</v>
      </c>
      <c r="J129" s="71" t="s">
        <v>226</v>
      </c>
      <c r="M129" s="70" t="s">
        <v>367</v>
      </c>
      <c r="N129" s="71" t="s">
        <v>369</v>
      </c>
      <c r="O129" s="71" t="str">
        <f>VLOOKUP(A129,Hoja4!$A$2:$B$247,2,FALSE)</f>
        <v>ALEX EDUARDO ZAMBRANO PEREZ        </v>
      </c>
      <c r="P129" s="71" t="s">
        <v>329</v>
      </c>
      <c r="Q129" s="73" t="s">
        <v>274</v>
      </c>
      <c r="R129" s="71" t="s">
        <v>274</v>
      </c>
      <c r="U129" s="75"/>
      <c r="W129" s="75"/>
      <c r="Y129" s="75"/>
      <c r="AC129" s="75"/>
      <c r="AE129" s="71" t="s">
        <v>208</v>
      </c>
      <c r="AF129" s="71" t="s">
        <v>239</v>
      </c>
      <c r="AG129" s="71" t="s">
        <v>204</v>
      </c>
      <c r="AH129" s="76" t="s">
        <v>217</v>
      </c>
      <c r="AK129" s="71" t="s">
        <v>200</v>
      </c>
      <c r="AL129" s="75" t="s">
        <v>214</v>
      </c>
      <c r="AM129" s="71"/>
      <c r="AN129" s="71"/>
      <c r="AO129" s="71"/>
      <c r="AP129" s="71"/>
      <c r="AQ129" s="71"/>
      <c r="AS129" s="71" t="s">
        <v>198</v>
      </c>
      <c r="AT129" s="75" t="s">
        <v>299</v>
      </c>
      <c r="AV129" s="75" t="s">
        <v>218</v>
      </c>
      <c r="AW129" s="75" t="s">
        <v>202</v>
      </c>
      <c r="AX129" s="75" t="str">
        <f t="shared" si="12"/>
        <v>MELISSA ANDREA LAITON GARNICA</v>
      </c>
      <c r="BA129" s="75" t="s">
        <v>209</v>
      </c>
      <c r="BB129" s="75" t="str">
        <f>VLOOKUP(A129,_p8_2025,2,FALSE)</f>
        <v>LUIS ARTURO BASTIDAS</v>
      </c>
      <c r="BE129" s="75" t="s">
        <v>194</v>
      </c>
      <c r="BF129" s="75" t="s">
        <v>195</v>
      </c>
      <c r="BK129" s="73" t="s">
        <v>368</v>
      </c>
      <c r="BL129" s="73" t="str">
        <v>COM INV SST DER</v>
      </c>
    </row>
    <row r="130" spans="1:64" x14ac:dyDescent="0.25">
      <c r="A130" s="70">
        <v>3118496</v>
      </c>
      <c r="B130" s="71" t="s">
        <v>245</v>
      </c>
      <c r="C130" s="71">
        <v>42</v>
      </c>
      <c r="D130" s="72" t="s">
        <v>271</v>
      </c>
      <c r="E130" s="73" t="s">
        <v>116</v>
      </c>
      <c r="F130" s="74">
        <f t="shared" si="11"/>
        <v>46251</v>
      </c>
      <c r="G130" s="73" t="s">
        <v>117</v>
      </c>
      <c r="H130" s="73" t="s">
        <v>367</v>
      </c>
      <c r="J130" s="71" t="s">
        <v>226</v>
      </c>
      <c r="M130" s="70" t="s">
        <v>367</v>
      </c>
      <c r="N130" s="71" t="s">
        <v>369</v>
      </c>
      <c r="O130" s="71" t="str">
        <f>VLOOKUP(A130,Hoja4!$A$2:$B$247,2,FALSE)</f>
        <v>ALEX EDUARDO ZAMBRANO PEREZ        </v>
      </c>
      <c r="P130" s="71" t="s">
        <v>329</v>
      </c>
      <c r="Q130" s="73" t="s">
        <v>274</v>
      </c>
      <c r="R130" s="71" t="s">
        <v>274</v>
      </c>
      <c r="U130" s="75"/>
      <c r="W130" s="75"/>
      <c r="Y130" s="75"/>
      <c r="AC130" s="75" t="s">
        <v>209</v>
      </c>
      <c r="AD130" s="71" t="s">
        <v>236</v>
      </c>
      <c r="AE130" s="71" t="s">
        <v>208</v>
      </c>
      <c r="AF130" s="71" t="s">
        <v>239</v>
      </c>
      <c r="AG130" s="71" t="s">
        <v>200</v>
      </c>
      <c r="AH130" s="76" t="s">
        <v>220</v>
      </c>
      <c r="AK130" s="71" t="s">
        <v>198</v>
      </c>
      <c r="AL130" s="75" t="s">
        <v>199</v>
      </c>
      <c r="AM130" s="71"/>
      <c r="AN130" s="71"/>
      <c r="AO130" s="71" t="s">
        <v>204</v>
      </c>
      <c r="AP130" s="71" t="s">
        <v>217</v>
      </c>
      <c r="AQ130" s="71"/>
      <c r="AS130" s="71" t="s">
        <v>194</v>
      </c>
      <c r="AT130" s="75" t="s">
        <v>195</v>
      </c>
      <c r="AV130" s="75" t="s">
        <v>218</v>
      </c>
      <c r="AW130" s="75" t="s">
        <v>202</v>
      </c>
      <c r="AX130" s="75" t="str">
        <f t="shared" si="12"/>
        <v>MELISSA ANDREA LAITON GARNICA</v>
      </c>
      <c r="BE130" s="75" t="s">
        <v>206</v>
      </c>
      <c r="BF130" s="75" t="s">
        <v>207</v>
      </c>
      <c r="BK130" s="73" t="s">
        <v>368</v>
      </c>
      <c r="BL130" s="73" t="str">
        <v>COM INV FIS DER</v>
      </c>
    </row>
    <row r="131" spans="1:64" x14ac:dyDescent="0.25">
      <c r="A131" s="70">
        <v>3118497</v>
      </c>
      <c r="B131" s="71" t="s">
        <v>245</v>
      </c>
      <c r="C131" s="71">
        <v>40</v>
      </c>
      <c r="D131" s="72" t="s">
        <v>271</v>
      </c>
      <c r="E131" s="73" t="s">
        <v>116</v>
      </c>
      <c r="F131" s="74">
        <f t="shared" si="11"/>
        <v>46251</v>
      </c>
      <c r="G131" s="73" t="s">
        <v>117</v>
      </c>
      <c r="H131" s="73" t="s">
        <v>370</v>
      </c>
      <c r="J131" s="71" t="s">
        <v>226</v>
      </c>
      <c r="M131" s="70" t="s">
        <v>273</v>
      </c>
      <c r="N131" s="71" t="s">
        <v>369</v>
      </c>
      <c r="O131" s="71" t="str">
        <f>VLOOKUP(A131,Hoja4!$A$2:$B$247,2,FALSE)</f>
        <v>EDUER PABON MORALES</v>
      </c>
      <c r="P131" s="71" t="s">
        <v>329</v>
      </c>
      <c r="Q131" s="73" t="s">
        <v>274</v>
      </c>
      <c r="R131" s="71" t="s">
        <v>274</v>
      </c>
      <c r="U131" s="75"/>
      <c r="W131" s="75"/>
      <c r="Y131" s="75"/>
      <c r="AC131" s="75"/>
      <c r="AE131" s="71" t="s">
        <v>208</v>
      </c>
      <c r="AF131" s="71" t="s">
        <v>235</v>
      </c>
      <c r="AG131" s="71" t="s">
        <v>200</v>
      </c>
      <c r="AH131" s="76" t="s">
        <v>220</v>
      </c>
      <c r="AK131" s="71" t="s">
        <v>198</v>
      </c>
      <c r="AL131" s="75" t="s">
        <v>253</v>
      </c>
      <c r="AM131" s="71"/>
      <c r="AN131" s="71"/>
      <c r="AO131" s="71" t="s">
        <v>204</v>
      </c>
      <c r="AP131" s="71" t="s">
        <v>205</v>
      </c>
      <c r="AQ131" s="71"/>
      <c r="AS131" s="71" t="s">
        <v>209</v>
      </c>
      <c r="AT131" s="75" t="s">
        <v>228</v>
      </c>
      <c r="AV131" s="75" t="s">
        <v>218</v>
      </c>
      <c r="AW131" s="75" t="s">
        <v>202</v>
      </c>
      <c r="AX131" s="75" t="str">
        <f t="shared" si="12"/>
        <v>CHRISTIAN CAMILO RODRIGUEZ SALAS</v>
      </c>
      <c r="BA131" s="75" t="s">
        <v>194</v>
      </c>
      <c r="BB131" s="75" t="str">
        <f>VLOOKUP(A131,_p8_2025,2,FALSE)</f>
        <v>CAMILO ERNESTO CALDERON GALINDO</v>
      </c>
      <c r="BE131" s="75" t="s">
        <v>206</v>
      </c>
      <c r="BF131" s="75" t="s">
        <v>207</v>
      </c>
      <c r="BK131" s="73" t="s">
        <v>368</v>
      </c>
      <c r="BL131" s="73" t="str">
        <v>COM INV FIS DER</v>
      </c>
    </row>
    <row r="132" spans="1:64" x14ac:dyDescent="0.25">
      <c r="A132" s="70">
        <v>3118498</v>
      </c>
      <c r="B132" s="71" t="s">
        <v>245</v>
      </c>
      <c r="C132" s="71">
        <v>43</v>
      </c>
      <c r="D132" s="72" t="s">
        <v>271</v>
      </c>
      <c r="E132" s="73" t="s">
        <v>116</v>
      </c>
      <c r="F132" s="74">
        <f t="shared" si="11"/>
        <v>46251</v>
      </c>
      <c r="G132" s="73" t="s">
        <v>117</v>
      </c>
      <c r="H132" s="73" t="s">
        <v>370</v>
      </c>
      <c r="J132" s="71" t="s">
        <v>226</v>
      </c>
      <c r="M132" s="70" t="s">
        <v>273</v>
      </c>
      <c r="N132" s="71" t="s">
        <v>281</v>
      </c>
      <c r="O132" s="71" t="str">
        <f>VLOOKUP(A132,Hoja4!$A$2:$B$247,2,FALSE)</f>
        <v>EDUER PABON MORALES</v>
      </c>
      <c r="P132" s="71" t="s">
        <v>329</v>
      </c>
      <c r="Q132" s="73" t="s">
        <v>274</v>
      </c>
      <c r="R132" s="71" t="s">
        <v>274</v>
      </c>
      <c r="U132" s="75"/>
      <c r="W132" s="75"/>
      <c r="Y132" s="75"/>
      <c r="AC132" s="75" t="s">
        <v>204</v>
      </c>
      <c r="AD132" s="71" t="s">
        <v>205</v>
      </c>
      <c r="AE132" s="71" t="s">
        <v>208</v>
      </c>
      <c r="AF132" s="71" t="s">
        <v>239</v>
      </c>
      <c r="AG132" s="71" t="s">
        <v>209</v>
      </c>
      <c r="AH132" s="76" t="s">
        <v>226</v>
      </c>
      <c r="AK132" s="71" t="s">
        <v>200</v>
      </c>
      <c r="AL132" s="75" t="s">
        <v>201</v>
      </c>
      <c r="AM132" s="71"/>
      <c r="AN132" s="71"/>
      <c r="AO132" s="71"/>
      <c r="AP132" s="71"/>
      <c r="AQ132" s="71"/>
      <c r="AS132" s="71" t="s">
        <v>198</v>
      </c>
      <c r="AT132" s="75" t="s">
        <v>299</v>
      </c>
      <c r="AV132" s="75" t="s">
        <v>218</v>
      </c>
      <c r="AW132" s="75" t="s">
        <v>196</v>
      </c>
      <c r="AX132" s="75" t="str">
        <f t="shared" si="12"/>
        <v>JORGE ARMANDO PIEDRAHITA</v>
      </c>
      <c r="BE132" s="75" t="s">
        <v>206</v>
      </c>
      <c r="BF132" s="75" t="s">
        <v>207</v>
      </c>
      <c r="BK132" s="73" t="s">
        <v>371</v>
      </c>
      <c r="BL132" s="73" t="str">
        <v>COM INV FIS CUL</v>
      </c>
    </row>
    <row r="133" spans="1:64" x14ac:dyDescent="0.25">
      <c r="A133" s="70">
        <v>3118499</v>
      </c>
      <c r="B133" s="71" t="s">
        <v>245</v>
      </c>
      <c r="C133" s="71">
        <v>39</v>
      </c>
      <c r="D133" s="72" t="s">
        <v>271</v>
      </c>
      <c r="E133" s="73" t="s">
        <v>116</v>
      </c>
      <c r="F133" s="74">
        <f t="shared" si="11"/>
        <v>46251</v>
      </c>
      <c r="G133" s="73" t="s">
        <v>117</v>
      </c>
      <c r="H133" s="73" t="s">
        <v>370</v>
      </c>
      <c r="J133" s="71" t="s">
        <v>226</v>
      </c>
      <c r="M133" s="70" t="s">
        <v>273</v>
      </c>
      <c r="N133" s="71" t="s">
        <v>281</v>
      </c>
      <c r="O133" s="71" t="str">
        <f>VLOOKUP(A133,Hoja4!$A$2:$B$247,2,FALSE)</f>
        <v>EDUER PABON MORALES</v>
      </c>
      <c r="P133" s="71" t="s">
        <v>329</v>
      </c>
      <c r="Q133" s="73" t="s">
        <v>274</v>
      </c>
      <c r="R133" s="71" t="s">
        <v>274</v>
      </c>
      <c r="U133" s="75"/>
      <c r="W133" s="75"/>
      <c r="Y133" s="75"/>
      <c r="AC133" s="75" t="s">
        <v>204</v>
      </c>
      <c r="AD133" s="71" t="s">
        <v>221</v>
      </c>
      <c r="AE133" s="71" t="s">
        <v>208</v>
      </c>
      <c r="AF133" s="71" t="s">
        <v>235</v>
      </c>
      <c r="AG133" s="71" t="s">
        <v>209</v>
      </c>
      <c r="AH133" s="76" t="s">
        <v>228</v>
      </c>
      <c r="AK133" s="71" t="s">
        <v>200</v>
      </c>
      <c r="AL133" s="75" t="s">
        <v>220</v>
      </c>
      <c r="AM133" s="71"/>
      <c r="AN133" s="71"/>
      <c r="AO133" s="71"/>
      <c r="AP133" s="71"/>
      <c r="AQ133" s="71"/>
      <c r="AS133" s="71" t="s">
        <v>198</v>
      </c>
      <c r="AT133" s="75" t="s">
        <v>299</v>
      </c>
      <c r="AV133" s="75" t="s">
        <v>218</v>
      </c>
      <c r="AW133" s="75" t="s">
        <v>196</v>
      </c>
      <c r="AX133" s="75" t="str">
        <f t="shared" si="12"/>
        <v>CESAR AUGUSTO BERMEO</v>
      </c>
      <c r="BE133" s="75" t="s">
        <v>206</v>
      </c>
      <c r="BF133" s="75" t="s">
        <v>207</v>
      </c>
      <c r="BK133" s="73" t="s">
        <v>372</v>
      </c>
      <c r="BL133" s="73" t="str">
        <v>COM CUL INV EMP</v>
      </c>
    </row>
    <row r="134" spans="1:64" x14ac:dyDescent="0.25">
      <c r="A134" s="70">
        <v>3118500</v>
      </c>
      <c r="B134" s="71" t="s">
        <v>245</v>
      </c>
      <c r="C134" s="71">
        <v>40</v>
      </c>
      <c r="D134" s="72" t="s">
        <v>101</v>
      </c>
      <c r="E134" s="73" t="s">
        <v>116</v>
      </c>
      <c r="F134" s="74">
        <f t="shared" si="11"/>
        <v>46251</v>
      </c>
      <c r="G134" s="73" t="s">
        <v>117</v>
      </c>
      <c r="H134" s="73" t="s">
        <v>362</v>
      </c>
      <c r="J134" s="71" t="s">
        <v>227</v>
      </c>
      <c r="M134" s="70" t="s">
        <v>362</v>
      </c>
      <c r="O134" s="71" t="str">
        <f>VLOOKUP(A134,Hoja4!$A$2:$B$247,2,FALSE)</f>
        <v xml:space="preserve">GRACIELA MARTINEZ JIMENEZ  </v>
      </c>
      <c r="P134" s="71" t="s">
        <v>233</v>
      </c>
      <c r="Q134" s="73" t="s">
        <v>297</v>
      </c>
      <c r="R134" s="71" t="s">
        <v>297</v>
      </c>
      <c r="U134" s="75"/>
      <c r="W134" s="75"/>
      <c r="Y134" s="75"/>
      <c r="AC134" s="75" t="s">
        <v>254</v>
      </c>
      <c r="AD134" s="71" t="s">
        <v>255</v>
      </c>
      <c r="AE134" s="71" t="s">
        <v>204</v>
      </c>
      <c r="AF134" s="71" t="s">
        <v>221</v>
      </c>
      <c r="AG134" s="71" t="s">
        <v>208</v>
      </c>
      <c r="AH134" s="76" t="s">
        <v>235</v>
      </c>
      <c r="AK134" s="71" t="s">
        <v>196</v>
      </c>
      <c r="AL134" s="75" t="s">
        <v>281</v>
      </c>
      <c r="AM134" s="71"/>
      <c r="AN134" s="71"/>
      <c r="AO134" s="71"/>
      <c r="AP134" s="71"/>
      <c r="AQ134" s="71"/>
      <c r="AS134" s="71" t="s">
        <v>198</v>
      </c>
      <c r="AT134" s="75" t="s">
        <v>199</v>
      </c>
      <c r="AV134" s="75" t="s">
        <v>218</v>
      </c>
      <c r="AW134" s="75" t="s">
        <v>200</v>
      </c>
      <c r="AX134" s="75" t="str">
        <f t="shared" si="12"/>
        <v>JULIANA HERNANDEZ BARRERA</v>
      </c>
      <c r="BA134" s="75" t="s">
        <v>209</v>
      </c>
      <c r="BB134" s="75" t="str">
        <f t="shared" ref="BB134:BB141" si="13">VLOOKUP(A134,_p8_2025,2,FALSE)</f>
        <v>ALBERTO ANTONIO TAPIA TORRES</v>
      </c>
      <c r="BE134" s="75" t="s">
        <v>206</v>
      </c>
      <c r="BF134" s="75" t="s">
        <v>207</v>
      </c>
      <c r="BK134" s="73" t="s">
        <v>373</v>
      </c>
      <c r="BL134" s="73" t="str">
        <v>COM TIC CUL INV</v>
      </c>
    </row>
    <row r="135" spans="1:64" x14ac:dyDescent="0.25">
      <c r="A135" s="70">
        <v>3118501</v>
      </c>
      <c r="B135" s="71" t="s">
        <v>245</v>
      </c>
      <c r="C135" s="71">
        <v>39</v>
      </c>
      <c r="D135" s="72" t="s">
        <v>101</v>
      </c>
      <c r="E135" s="73" t="s">
        <v>116</v>
      </c>
      <c r="F135" s="74">
        <f t="shared" si="11"/>
        <v>46251</v>
      </c>
      <c r="G135" s="73" t="s">
        <v>117</v>
      </c>
      <c r="H135" s="73" t="s">
        <v>362</v>
      </c>
      <c r="J135" s="71" t="s">
        <v>227</v>
      </c>
      <c r="M135" s="70" t="s">
        <v>362</v>
      </c>
      <c r="O135" s="71" t="str">
        <f>VLOOKUP(A135,Hoja4!$A$2:$B$247,2,FALSE)</f>
        <v xml:space="preserve">GRACIELA MARTINEZ JIMENEZ  </v>
      </c>
      <c r="P135" s="71" t="s">
        <v>233</v>
      </c>
      <c r="Q135" s="73" t="s">
        <v>297</v>
      </c>
      <c r="R135" s="71" t="s">
        <v>297</v>
      </c>
      <c r="U135" s="75"/>
      <c r="W135" s="75"/>
      <c r="Y135" s="75"/>
      <c r="AC135" s="75" t="s">
        <v>254</v>
      </c>
      <c r="AD135" s="71" t="s">
        <v>255</v>
      </c>
      <c r="AE135" s="71" t="s">
        <v>204</v>
      </c>
      <c r="AF135" s="71" t="s">
        <v>205</v>
      </c>
      <c r="AG135" s="71" t="s">
        <v>208</v>
      </c>
      <c r="AH135" s="76" t="s">
        <v>235</v>
      </c>
      <c r="AK135" s="71" t="s">
        <v>196</v>
      </c>
      <c r="AL135" s="75" t="s">
        <v>197</v>
      </c>
      <c r="AM135" s="71"/>
      <c r="AN135" s="71"/>
      <c r="AO135" s="71"/>
      <c r="AP135" s="71"/>
      <c r="AQ135" s="71"/>
      <c r="AS135" s="71" t="s">
        <v>198</v>
      </c>
      <c r="AT135" s="75" t="s">
        <v>225</v>
      </c>
      <c r="AV135" s="75" t="s">
        <v>218</v>
      </c>
      <c r="AW135" s="75" t="s">
        <v>200</v>
      </c>
      <c r="AX135" s="75" t="str">
        <f t="shared" si="12"/>
        <v>JULIANA HERNANDEZ BARRERA</v>
      </c>
      <c r="BA135" s="75" t="s">
        <v>209</v>
      </c>
      <c r="BB135" s="75" t="str">
        <f t="shared" si="13"/>
        <v>ESTEFANIA SANDOVAL CRUZ</v>
      </c>
      <c r="BK135" s="73" t="s">
        <v>373</v>
      </c>
      <c r="BL135" s="73" t="str">
        <v>COM TIC CUL SST INV</v>
      </c>
    </row>
    <row r="136" spans="1:64" x14ac:dyDescent="0.25">
      <c r="A136" s="70">
        <v>3118502</v>
      </c>
      <c r="B136" s="71" t="s">
        <v>245</v>
      </c>
      <c r="C136" s="71">
        <v>44</v>
      </c>
      <c r="D136" s="72" t="s">
        <v>101</v>
      </c>
      <c r="E136" s="73" t="s">
        <v>116</v>
      </c>
      <c r="F136" s="74">
        <f t="shared" si="11"/>
        <v>46251</v>
      </c>
      <c r="G136" s="73" t="s">
        <v>117</v>
      </c>
      <c r="H136" s="73" t="s">
        <v>345</v>
      </c>
      <c r="J136" s="71" t="s">
        <v>227</v>
      </c>
      <c r="M136" s="70" t="s">
        <v>347</v>
      </c>
      <c r="O136" s="71" t="str">
        <f>VLOOKUP(A136,Hoja4!$A$2:$B$247,2,FALSE)</f>
        <v>LUIS GABRIEL GRANADOS YEPES              </v>
      </c>
      <c r="P136" s="71" t="s">
        <v>233</v>
      </c>
      <c r="Q136" s="73" t="s">
        <v>297</v>
      </c>
      <c r="R136" s="71" t="s">
        <v>297</v>
      </c>
      <c r="U136" s="75"/>
      <c r="W136" s="75"/>
      <c r="Y136" s="75"/>
      <c r="AC136" s="75" t="s">
        <v>254</v>
      </c>
      <c r="AD136" s="71" t="s">
        <v>255</v>
      </c>
      <c r="AE136" s="71" t="s">
        <v>204</v>
      </c>
      <c r="AF136" s="71" t="s">
        <v>205</v>
      </c>
      <c r="AG136" s="71" t="s">
        <v>208</v>
      </c>
      <c r="AH136" s="76" t="s">
        <v>278</v>
      </c>
      <c r="AK136" s="71" t="s">
        <v>196</v>
      </c>
      <c r="AL136" s="75" t="s">
        <v>197</v>
      </c>
      <c r="AM136" s="71"/>
      <c r="AN136" s="71"/>
      <c r="AO136" s="71"/>
      <c r="AP136" s="71"/>
      <c r="AQ136" s="71"/>
      <c r="AS136" s="71" t="s">
        <v>198</v>
      </c>
      <c r="AT136" s="75" t="s">
        <v>199</v>
      </c>
      <c r="AV136" s="75" t="s">
        <v>218</v>
      </c>
      <c r="AW136" s="75" t="s">
        <v>200</v>
      </c>
      <c r="AX136" s="75" t="str">
        <f t="shared" si="12"/>
        <v>WILDER JULIAN ARIAS HERNANDEZ</v>
      </c>
      <c r="BA136" s="75" t="s">
        <v>242</v>
      </c>
      <c r="BB136" s="75" t="str">
        <f t="shared" si="13"/>
        <v>LAURA SOFIA PAEZ GALLO</v>
      </c>
      <c r="BE136" s="75" t="s">
        <v>206</v>
      </c>
      <c r="BF136" s="75" t="s">
        <v>213</v>
      </c>
      <c r="BK136" s="73" t="s">
        <v>374</v>
      </c>
      <c r="BL136" s="73" t="str">
        <v>COM CIE DER CUL</v>
      </c>
    </row>
    <row r="137" spans="1:64" x14ac:dyDescent="0.25">
      <c r="A137" s="70">
        <v>3118503</v>
      </c>
      <c r="B137" s="71" t="s">
        <v>245</v>
      </c>
      <c r="C137" s="71">
        <v>45</v>
      </c>
      <c r="D137" s="72" t="s">
        <v>101</v>
      </c>
      <c r="E137" s="73" t="s">
        <v>116</v>
      </c>
      <c r="F137" s="74">
        <f t="shared" si="11"/>
        <v>46251</v>
      </c>
      <c r="G137" s="73" t="s">
        <v>117</v>
      </c>
      <c r="H137" s="73" t="s">
        <v>345</v>
      </c>
      <c r="J137" s="71" t="s">
        <v>227</v>
      </c>
      <c r="M137" s="70" t="s">
        <v>347</v>
      </c>
      <c r="O137" s="71" t="str">
        <f>VLOOKUP(A137,Hoja4!$A$2:$B$247,2,FALSE)</f>
        <v>LAURA VIVIANA MONTERO DURAN       </v>
      </c>
      <c r="P137" s="71" t="s">
        <v>233</v>
      </c>
      <c r="Q137" s="73" t="s">
        <v>297</v>
      </c>
      <c r="R137" s="71" t="s">
        <v>297</v>
      </c>
      <c r="U137" s="75"/>
      <c r="W137" s="75"/>
      <c r="Y137" s="75"/>
      <c r="AC137" s="75" t="s">
        <v>254</v>
      </c>
      <c r="AD137" s="71" t="s">
        <v>255</v>
      </c>
      <c r="AE137" s="71" t="s">
        <v>204</v>
      </c>
      <c r="AF137" s="71" t="s">
        <v>205</v>
      </c>
      <c r="AG137" s="71" t="s">
        <v>208</v>
      </c>
      <c r="AH137" s="76" t="s">
        <v>235</v>
      </c>
      <c r="AK137" s="71" t="s">
        <v>196</v>
      </c>
      <c r="AL137" s="75" t="s">
        <v>281</v>
      </c>
      <c r="AM137" s="71"/>
      <c r="AN137" s="71"/>
      <c r="AO137" s="71" t="s">
        <v>198</v>
      </c>
      <c r="AP137" s="71" t="s">
        <v>299</v>
      </c>
      <c r="AQ137" s="71"/>
      <c r="AS137" s="71" t="s">
        <v>209</v>
      </c>
      <c r="AT137" s="75" t="s">
        <v>228</v>
      </c>
      <c r="AV137" s="75" t="s">
        <v>218</v>
      </c>
      <c r="AW137" s="75" t="s">
        <v>200</v>
      </c>
      <c r="AX137" s="75" t="str">
        <f t="shared" si="12"/>
        <v>JULIANA HERNANDEZ BARRERA</v>
      </c>
      <c r="BA137" s="75" t="s">
        <v>242</v>
      </c>
      <c r="BB137" s="75" t="str">
        <f t="shared" si="13"/>
        <v>LAURA SOFIA PAEZ GALLO</v>
      </c>
      <c r="BE137" s="75" t="s">
        <v>206</v>
      </c>
      <c r="BF137" s="75" t="s">
        <v>213</v>
      </c>
      <c r="BK137" s="73" t="s">
        <v>375</v>
      </c>
      <c r="BL137" s="73" t="str">
        <v>COM DER EMP CUL</v>
      </c>
    </row>
    <row r="138" spans="1:64" x14ac:dyDescent="0.25">
      <c r="A138" s="70">
        <v>3118504</v>
      </c>
      <c r="B138" s="71" t="s">
        <v>245</v>
      </c>
      <c r="C138" s="71">
        <v>40</v>
      </c>
      <c r="D138" s="72" t="s">
        <v>101</v>
      </c>
      <c r="E138" s="73" t="s">
        <v>116</v>
      </c>
      <c r="F138" s="74">
        <f t="shared" si="11"/>
        <v>46251</v>
      </c>
      <c r="G138" s="73" t="s">
        <v>117</v>
      </c>
      <c r="H138" s="73" t="s">
        <v>345</v>
      </c>
      <c r="J138" s="71" t="s">
        <v>227</v>
      </c>
      <c r="M138" s="70" t="s">
        <v>347</v>
      </c>
      <c r="O138" s="71" t="str">
        <f>VLOOKUP(A138,Hoja4!$A$2:$B$247,2,FALSE)</f>
        <v>LAURA VIVIANA MONTERO DURAN       </v>
      </c>
      <c r="P138" s="71" t="s">
        <v>233</v>
      </c>
      <c r="Q138" s="73" t="s">
        <v>297</v>
      </c>
      <c r="R138" s="71" t="s">
        <v>297</v>
      </c>
      <c r="U138" s="75"/>
      <c r="W138" s="75"/>
      <c r="Y138" s="75"/>
      <c r="AC138" s="75" t="s">
        <v>254</v>
      </c>
      <c r="AD138" s="71" t="s">
        <v>255</v>
      </c>
      <c r="AE138" s="71" t="s">
        <v>204</v>
      </c>
      <c r="AF138" s="71" t="s">
        <v>221</v>
      </c>
      <c r="AG138" s="71" t="s">
        <v>208</v>
      </c>
      <c r="AH138" s="76" t="s">
        <v>235</v>
      </c>
      <c r="AK138" s="71" t="s">
        <v>196</v>
      </c>
      <c r="AL138" s="75" t="s">
        <v>281</v>
      </c>
      <c r="AM138" s="71"/>
      <c r="AN138" s="71"/>
      <c r="AO138" s="71" t="s">
        <v>198</v>
      </c>
      <c r="AP138" s="71" t="s">
        <v>225</v>
      </c>
      <c r="AQ138" s="71"/>
      <c r="AS138" s="71" t="s">
        <v>209</v>
      </c>
      <c r="AT138" s="75" t="s">
        <v>226</v>
      </c>
      <c r="AV138" s="75" t="s">
        <v>218</v>
      </c>
      <c r="AW138" s="75" t="s">
        <v>200</v>
      </c>
      <c r="AX138" s="75" t="str">
        <f t="shared" si="12"/>
        <v>ELKIN DURAN MANCIPE</v>
      </c>
      <c r="BA138" s="75" t="s">
        <v>242</v>
      </c>
      <c r="BB138" s="75" t="str">
        <f t="shared" si="13"/>
        <v>LAURA SOFIA PAEZ GALLO</v>
      </c>
      <c r="BK138" s="73" t="s">
        <v>376</v>
      </c>
      <c r="BL138" s="73" t="str">
        <v>COM TIC DER SST CUL</v>
      </c>
    </row>
    <row r="139" spans="1:64" x14ac:dyDescent="0.25">
      <c r="A139" s="70">
        <v>3118505</v>
      </c>
      <c r="B139" s="71" t="s">
        <v>245</v>
      </c>
      <c r="C139" s="71">
        <v>44</v>
      </c>
      <c r="D139" s="72" t="s">
        <v>101</v>
      </c>
      <c r="E139" s="73" t="s">
        <v>116</v>
      </c>
      <c r="F139" s="74">
        <f t="shared" si="11"/>
        <v>46251</v>
      </c>
      <c r="G139" s="73" t="s">
        <v>117</v>
      </c>
      <c r="H139" s="73" t="s">
        <v>340</v>
      </c>
      <c r="J139" s="71" t="s">
        <v>227</v>
      </c>
      <c r="L139" s="71" t="s">
        <v>340</v>
      </c>
      <c r="M139" s="70" t="s">
        <v>377</v>
      </c>
      <c r="O139" s="71" t="str">
        <f>VLOOKUP(A139,Hoja4!$A$2:$B$247,2,FALSE)</f>
        <v>DARLING NATHALI GOMEZ OSPINA        </v>
      </c>
      <c r="P139" s="71" t="s">
        <v>233</v>
      </c>
      <c r="Q139" s="73" t="s">
        <v>297</v>
      </c>
      <c r="R139" s="71" t="s">
        <v>297</v>
      </c>
      <c r="U139" s="75"/>
      <c r="W139" s="75"/>
      <c r="Y139" s="75"/>
      <c r="AC139" s="75" t="s">
        <v>254</v>
      </c>
      <c r="AD139" s="71" t="s">
        <v>255</v>
      </c>
      <c r="AE139" s="71" t="s">
        <v>204</v>
      </c>
      <c r="AF139" s="71" t="s">
        <v>221</v>
      </c>
      <c r="AG139" s="71" t="s">
        <v>208</v>
      </c>
      <c r="AH139" s="76" t="s">
        <v>239</v>
      </c>
      <c r="AK139" s="71" t="s">
        <v>196</v>
      </c>
      <c r="AL139" s="75" t="s">
        <v>197</v>
      </c>
      <c r="AM139" s="71"/>
      <c r="AN139" s="71"/>
      <c r="AO139" s="71" t="s">
        <v>198</v>
      </c>
      <c r="AP139" s="71" t="s">
        <v>253</v>
      </c>
      <c r="AQ139" s="71"/>
      <c r="AS139" s="71" t="s">
        <v>209</v>
      </c>
      <c r="AT139" s="75" t="s">
        <v>236</v>
      </c>
      <c r="AV139" s="75" t="s">
        <v>218</v>
      </c>
      <c r="AW139" s="75" t="s">
        <v>200</v>
      </c>
      <c r="AX139" s="75" t="str">
        <f t="shared" si="12"/>
        <v>ELKIN DURAN MANCIPE</v>
      </c>
      <c r="BA139" s="75" t="s">
        <v>242</v>
      </c>
      <c r="BB139" s="75" t="str">
        <f t="shared" si="13"/>
        <v>LAURA SOFIA PAEZ GALLO</v>
      </c>
      <c r="BK139" s="73" t="s">
        <v>378</v>
      </c>
      <c r="BL139" s="73" t="str">
        <v>TIC MAT COM SST EMP DER INV FIS CUL</v>
      </c>
    </row>
    <row r="140" spans="1:64" x14ac:dyDescent="0.25">
      <c r="A140" s="70">
        <v>3118506</v>
      </c>
      <c r="B140" s="71" t="s">
        <v>245</v>
      </c>
      <c r="C140" s="71">
        <v>45</v>
      </c>
      <c r="D140" s="72" t="s">
        <v>101</v>
      </c>
      <c r="E140" s="73" t="s">
        <v>116</v>
      </c>
      <c r="F140" s="74">
        <f t="shared" si="11"/>
        <v>46251</v>
      </c>
      <c r="G140" s="73" t="s">
        <v>117</v>
      </c>
      <c r="H140" s="73" t="s">
        <v>340</v>
      </c>
      <c r="J140" s="71" t="s">
        <v>227</v>
      </c>
      <c r="L140" s="71" t="s">
        <v>340</v>
      </c>
      <c r="M140" s="70" t="s">
        <v>377</v>
      </c>
      <c r="O140" s="71" t="str">
        <f>VLOOKUP(A140,Hoja4!$A$2:$B$247,2,FALSE)</f>
        <v>DARLING NATHALI GOMEZ OSPINA        </v>
      </c>
      <c r="P140" s="71" t="s">
        <v>233</v>
      </c>
      <c r="Q140" s="73" t="s">
        <v>297</v>
      </c>
      <c r="R140" s="71" t="s">
        <v>297</v>
      </c>
      <c r="U140" s="75"/>
      <c r="W140" s="75"/>
      <c r="Y140" s="75"/>
      <c r="AC140" s="75"/>
      <c r="AE140" s="71" t="s">
        <v>204</v>
      </c>
      <c r="AF140" s="71" t="s">
        <v>221</v>
      </c>
      <c r="AG140" s="71" t="s">
        <v>209</v>
      </c>
      <c r="AH140" s="76" t="s">
        <v>236</v>
      </c>
      <c r="AK140" s="71"/>
      <c r="AL140" s="75" t="s">
        <v>218</v>
      </c>
      <c r="AM140" s="71"/>
      <c r="AN140" s="71"/>
      <c r="AO140" s="71"/>
      <c r="AP140" s="71"/>
      <c r="AQ140" s="71"/>
      <c r="AS140" s="71" t="s">
        <v>196</v>
      </c>
      <c r="AT140" s="75" t="s">
        <v>197</v>
      </c>
      <c r="AV140" s="75" t="s">
        <v>218</v>
      </c>
      <c r="AW140" s="75" t="s">
        <v>198</v>
      </c>
      <c r="AX140" s="75" t="str">
        <f t="shared" si="12"/>
        <v>ANGELICA JANETH RODRIGUEZ ALONSO</v>
      </c>
      <c r="BA140" s="75" t="s">
        <v>200</v>
      </c>
      <c r="BB140" s="75" t="str">
        <f t="shared" si="13"/>
        <v>ELKIN DURAN MANCIPE</v>
      </c>
      <c r="BK140" s="73" t="s">
        <v>378</v>
      </c>
      <c r="BL140" s="73" t="str">
        <v>TIC MAT COM SST EMP DER INV FIS CUL</v>
      </c>
    </row>
    <row r="141" spans="1:64" x14ac:dyDescent="0.25">
      <c r="A141" s="70">
        <v>3118507</v>
      </c>
      <c r="B141" s="71" t="s">
        <v>245</v>
      </c>
      <c r="C141" s="71">
        <v>44</v>
      </c>
      <c r="D141" s="72" t="s">
        <v>101</v>
      </c>
      <c r="E141" s="73" t="s">
        <v>116</v>
      </c>
      <c r="F141" s="74">
        <f t="shared" si="11"/>
        <v>46251</v>
      </c>
      <c r="G141" s="73" t="s">
        <v>117</v>
      </c>
      <c r="H141" s="73" t="s">
        <v>340</v>
      </c>
      <c r="J141" s="71" t="s">
        <v>227</v>
      </c>
      <c r="L141" s="71" t="s">
        <v>340</v>
      </c>
      <c r="M141" s="70" t="s">
        <v>377</v>
      </c>
      <c r="O141" s="71" t="str">
        <f>VLOOKUP(A141,Hoja4!$A$2:$B$247,2,FALSE)</f>
        <v>DARLING NATHALI GOMEZ OSPINA        </v>
      </c>
      <c r="P141" s="71" t="s">
        <v>233</v>
      </c>
      <c r="Q141" s="73" t="s">
        <v>297</v>
      </c>
      <c r="R141" s="71" t="s">
        <v>297</v>
      </c>
      <c r="U141" s="75"/>
      <c r="W141" s="75"/>
      <c r="Y141" s="75"/>
      <c r="AC141" s="75"/>
      <c r="AE141" s="71" t="s">
        <v>204</v>
      </c>
      <c r="AF141" s="71" t="s">
        <v>205</v>
      </c>
      <c r="AG141" s="71" t="s">
        <v>208</v>
      </c>
      <c r="AH141" s="76" t="s">
        <v>278</v>
      </c>
      <c r="AK141" s="71"/>
      <c r="AL141" s="75" t="s">
        <v>218</v>
      </c>
      <c r="AM141" s="71"/>
      <c r="AN141" s="71"/>
      <c r="AO141" s="71" t="s">
        <v>254</v>
      </c>
      <c r="AP141" s="71" t="s">
        <v>255</v>
      </c>
      <c r="AQ141" s="71"/>
      <c r="AS141" s="71" t="s">
        <v>196</v>
      </c>
      <c r="AT141" s="75" t="s">
        <v>219</v>
      </c>
      <c r="AV141" s="75" t="s">
        <v>218</v>
      </c>
      <c r="AW141" s="75" t="s">
        <v>198</v>
      </c>
      <c r="AX141" s="75" t="str">
        <f t="shared" si="12"/>
        <v>ERICK RUIZ NOREÑA</v>
      </c>
      <c r="BA141" s="75" t="s">
        <v>200</v>
      </c>
      <c r="BB141" s="75" t="str">
        <f t="shared" si="13"/>
        <v>ELKIN DURAN MANCIPE</v>
      </c>
      <c r="BI141" s="75" t="s">
        <v>204</v>
      </c>
      <c r="BJ141" s="75" t="s">
        <v>205</v>
      </c>
      <c r="BK141" s="73" t="s">
        <v>379</v>
      </c>
      <c r="BL141" s="73" t="str">
        <v>COM MAT ETI DER CUL EMP INV SST</v>
      </c>
    </row>
    <row r="142" spans="1:64" x14ac:dyDescent="0.25">
      <c r="A142" s="70">
        <v>3118508</v>
      </c>
      <c r="B142" s="71" t="s">
        <v>245</v>
      </c>
      <c r="C142" s="71">
        <v>40</v>
      </c>
      <c r="D142" s="72" t="s">
        <v>99</v>
      </c>
      <c r="E142" s="73" t="s">
        <v>116</v>
      </c>
      <c r="F142" s="74">
        <f t="shared" si="11"/>
        <v>46251</v>
      </c>
      <c r="G142" s="73" t="s">
        <v>117</v>
      </c>
      <c r="H142" s="73" t="s">
        <v>268</v>
      </c>
      <c r="J142" s="71" t="s">
        <v>261</v>
      </c>
      <c r="M142" s="70" t="s">
        <v>262</v>
      </c>
      <c r="O142" s="71" t="str">
        <f>VLOOKUP(A142,Hoja4!$A$2:$B$247,2,FALSE)</f>
        <v xml:space="preserve">WANDA POSADA PAZ    </v>
      </c>
      <c r="P142" s="71" t="s">
        <v>231</v>
      </c>
      <c r="Q142" s="73" t="s">
        <v>263</v>
      </c>
      <c r="R142" s="71" t="s">
        <v>263</v>
      </c>
      <c r="U142" s="75"/>
      <c r="W142" s="75"/>
      <c r="Y142" s="75"/>
      <c r="AC142" s="75" t="s">
        <v>204</v>
      </c>
      <c r="AD142" s="71" t="s">
        <v>221</v>
      </c>
      <c r="AE142" s="71" t="s">
        <v>209</v>
      </c>
      <c r="AF142" s="71" t="s">
        <v>236</v>
      </c>
      <c r="AG142" s="71" t="s">
        <v>198</v>
      </c>
      <c r="AH142" s="76" t="s">
        <v>299</v>
      </c>
      <c r="AK142" s="71" t="s">
        <v>200</v>
      </c>
      <c r="AL142" s="75" t="s">
        <v>214</v>
      </c>
      <c r="AM142" s="71"/>
      <c r="AN142" s="71"/>
      <c r="AO142" s="71" t="s">
        <v>196</v>
      </c>
      <c r="AP142" s="71" t="s">
        <v>219</v>
      </c>
      <c r="AQ142" s="71"/>
      <c r="AS142" s="71" t="s">
        <v>206</v>
      </c>
      <c r="AT142" s="75" t="s">
        <v>207</v>
      </c>
      <c r="AV142" s="75" t="s">
        <v>218</v>
      </c>
      <c r="AW142" s="75" t="s">
        <v>208</v>
      </c>
      <c r="AX142" s="75" t="str">
        <f t="shared" si="12"/>
        <v>HECTOR ANDRES CIPAMOCHA CENTENO</v>
      </c>
      <c r="BE142" s="75" t="s">
        <v>194</v>
      </c>
      <c r="BF142" s="75" t="s">
        <v>195</v>
      </c>
      <c r="BI142" s="75" t="s">
        <v>204</v>
      </c>
      <c r="BJ142" s="75" t="s">
        <v>205</v>
      </c>
      <c r="BK142" s="73" t="s">
        <v>379</v>
      </c>
      <c r="BL142" s="73" t="str">
        <v>COM MAT ETI DER CUL EMP INV SST</v>
      </c>
    </row>
    <row r="143" spans="1:64" x14ac:dyDescent="0.25">
      <c r="A143" s="70">
        <v>3118509</v>
      </c>
      <c r="B143" s="71" t="s">
        <v>245</v>
      </c>
      <c r="C143" s="71">
        <v>40</v>
      </c>
      <c r="D143" s="72" t="s">
        <v>99</v>
      </c>
      <c r="E143" s="73" t="s">
        <v>116</v>
      </c>
      <c r="F143" s="74">
        <f t="shared" si="11"/>
        <v>46251</v>
      </c>
      <c r="G143" s="73" t="s">
        <v>117</v>
      </c>
      <c r="H143" s="73" t="s">
        <v>268</v>
      </c>
      <c r="J143" s="71" t="s">
        <v>261</v>
      </c>
      <c r="M143" s="70" t="s">
        <v>262</v>
      </c>
      <c r="O143" s="71" t="str">
        <f>VLOOKUP(A143,Hoja4!$A$2:$B$247,2,FALSE)</f>
        <v xml:space="preserve">WANDA POSADA PAZ    </v>
      </c>
      <c r="P143" s="71" t="s">
        <v>231</v>
      </c>
      <c r="Q143" s="73" t="s">
        <v>263</v>
      </c>
      <c r="R143" s="71" t="s">
        <v>263</v>
      </c>
      <c r="U143" s="75"/>
      <c r="W143" s="75"/>
      <c r="Y143" s="75"/>
      <c r="AC143" s="75" t="s">
        <v>208</v>
      </c>
      <c r="AD143" s="71" t="s">
        <v>235</v>
      </c>
      <c r="AE143" s="71" t="s">
        <v>209</v>
      </c>
      <c r="AF143" s="71" t="s">
        <v>226</v>
      </c>
      <c r="AG143" s="71" t="s">
        <v>204</v>
      </c>
      <c r="AH143" s="76" t="s">
        <v>221</v>
      </c>
      <c r="AK143" s="71" t="s">
        <v>198</v>
      </c>
      <c r="AL143" s="75" t="s">
        <v>199</v>
      </c>
      <c r="AM143" s="71"/>
      <c r="AN143" s="71"/>
      <c r="AO143" s="71"/>
      <c r="AP143" s="71"/>
      <c r="AQ143" s="71"/>
      <c r="AS143" s="71" t="s">
        <v>200</v>
      </c>
      <c r="AT143" s="75" t="s">
        <v>220</v>
      </c>
      <c r="AV143" s="75" t="s">
        <v>218</v>
      </c>
      <c r="AW143" s="75" t="s">
        <v>196</v>
      </c>
      <c r="AX143" s="75" t="str">
        <f t="shared" si="12"/>
        <v>JORGE ARMANDO PIEDRAHITA</v>
      </c>
      <c r="BA143" s="75" t="s">
        <v>206</v>
      </c>
      <c r="BB143" s="75" t="str">
        <f t="shared" ref="BB143:BB149" si="14">VLOOKUP(A143,_p8_2025,2,FALSE)</f>
        <v>DEISY JULIETH GARCIA CASTAÑEDA</v>
      </c>
      <c r="BE143" s="75" t="s">
        <v>194</v>
      </c>
      <c r="BF143" s="75" t="s">
        <v>195</v>
      </c>
      <c r="BI143" s="75" t="s">
        <v>204</v>
      </c>
      <c r="BJ143" s="75" t="s">
        <v>205</v>
      </c>
      <c r="BK143" s="73" t="s">
        <v>379</v>
      </c>
      <c r="BL143" s="73" t="str">
        <v>COM MAT ETI DER CUL EMP INV SST</v>
      </c>
    </row>
    <row r="144" spans="1:64" x14ac:dyDescent="0.25">
      <c r="A144" s="70">
        <v>3118510</v>
      </c>
      <c r="B144" s="71" t="s">
        <v>245</v>
      </c>
      <c r="C144" s="71">
        <v>41</v>
      </c>
      <c r="D144" s="72" t="s">
        <v>99</v>
      </c>
      <c r="E144" s="73" t="s">
        <v>116</v>
      </c>
      <c r="F144" s="74">
        <f t="shared" si="11"/>
        <v>46251</v>
      </c>
      <c r="G144" s="73" t="s">
        <v>117</v>
      </c>
      <c r="H144" s="73" t="s">
        <v>246</v>
      </c>
      <c r="J144" s="71" t="s">
        <v>261</v>
      </c>
      <c r="M144" s="70" t="s">
        <v>380</v>
      </c>
      <c r="O144" s="71" t="str">
        <f>VLOOKUP(A144,Hoja4!$A$2:$B$247,2,FALSE)</f>
        <v>JOHN JAIRO LEON MEZA              </v>
      </c>
      <c r="P144" s="71" t="s">
        <v>231</v>
      </c>
      <c r="Q144" s="73" t="s">
        <v>263</v>
      </c>
      <c r="R144" s="71" t="s">
        <v>263</v>
      </c>
      <c r="U144" s="75"/>
      <c r="W144" s="75"/>
      <c r="Y144" s="75"/>
      <c r="AC144" s="75" t="s">
        <v>208</v>
      </c>
      <c r="AD144" s="71" t="s">
        <v>239</v>
      </c>
      <c r="AE144" s="71" t="s">
        <v>209</v>
      </c>
      <c r="AF144" s="71" t="s">
        <v>236</v>
      </c>
      <c r="AG144" s="71" t="s">
        <v>204</v>
      </c>
      <c r="AH144" s="76" t="s">
        <v>217</v>
      </c>
      <c r="AK144" s="71" t="s">
        <v>198</v>
      </c>
      <c r="AL144" s="75" t="s">
        <v>253</v>
      </c>
      <c r="AM144" s="71"/>
      <c r="AN144" s="71"/>
      <c r="AO144" s="71"/>
      <c r="AP144" s="71"/>
      <c r="AQ144" s="71"/>
      <c r="AS144" s="71" t="s">
        <v>200</v>
      </c>
      <c r="AT144" s="75" t="s">
        <v>201</v>
      </c>
      <c r="AV144" s="75" t="s">
        <v>218</v>
      </c>
      <c r="AW144" s="75" t="s">
        <v>196</v>
      </c>
      <c r="AX144" s="75" t="str">
        <f t="shared" si="12"/>
        <v>CESAR AUGUSTO BERMEO</v>
      </c>
      <c r="BA144" s="75" t="s">
        <v>206</v>
      </c>
      <c r="BB144" s="75" t="str">
        <f t="shared" si="14"/>
        <v>MARINELLA DIAZ ACOSTA</v>
      </c>
      <c r="BI144" s="75" t="s">
        <v>204</v>
      </c>
      <c r="BJ144" s="75" t="s">
        <v>205</v>
      </c>
      <c r="BK144" s="73" t="s">
        <v>379</v>
      </c>
      <c r="BL144" s="73" t="str">
        <v>COM MAT ETI DER CUL EMP INV SST</v>
      </c>
    </row>
    <row r="145" spans="1:64" x14ac:dyDescent="0.25">
      <c r="A145" s="70">
        <v>3118511</v>
      </c>
      <c r="B145" s="71" t="s">
        <v>245</v>
      </c>
      <c r="C145" s="71">
        <v>42</v>
      </c>
      <c r="D145" s="72" t="s">
        <v>99</v>
      </c>
      <c r="E145" s="73" t="s">
        <v>116</v>
      </c>
      <c r="F145" s="74">
        <f t="shared" si="11"/>
        <v>46251</v>
      </c>
      <c r="G145" s="73" t="s">
        <v>117</v>
      </c>
      <c r="H145" s="73" t="s">
        <v>246</v>
      </c>
      <c r="J145" s="71" t="s">
        <v>261</v>
      </c>
      <c r="M145" s="70" t="s">
        <v>380</v>
      </c>
      <c r="O145" s="71" t="str">
        <f>VLOOKUP(A145,Hoja4!$A$2:$B$247,2,FALSE)</f>
        <v>JOHN JAIRO LEON MEZA              </v>
      </c>
      <c r="P145" s="71" t="s">
        <v>231</v>
      </c>
      <c r="Q145" s="73" t="s">
        <v>263</v>
      </c>
      <c r="R145" s="71" t="s">
        <v>263</v>
      </c>
      <c r="U145" s="75"/>
      <c r="W145" s="75"/>
      <c r="Y145" s="75"/>
      <c r="AC145" s="75" t="s">
        <v>208</v>
      </c>
      <c r="AD145" s="71" t="s">
        <v>239</v>
      </c>
      <c r="AE145" s="71" t="s">
        <v>209</v>
      </c>
      <c r="AF145" s="71" t="s">
        <v>236</v>
      </c>
      <c r="AG145" s="71" t="s">
        <v>204</v>
      </c>
      <c r="AH145" s="76" t="s">
        <v>217</v>
      </c>
      <c r="AK145" s="71" t="s">
        <v>198</v>
      </c>
      <c r="AL145" s="75" t="s">
        <v>225</v>
      </c>
      <c r="AM145" s="71"/>
      <c r="AN145" s="71"/>
      <c r="AO145" s="71"/>
      <c r="AP145" s="71"/>
      <c r="AQ145" s="71"/>
      <c r="AS145" s="71" t="s">
        <v>200</v>
      </c>
      <c r="AT145" s="75" t="s">
        <v>220</v>
      </c>
      <c r="AV145" s="75" t="s">
        <v>218</v>
      </c>
      <c r="AW145" s="75" t="s">
        <v>196</v>
      </c>
      <c r="AX145" s="75" t="str">
        <f t="shared" si="12"/>
        <v>JORGE ARMANDO PIEDRAHITA</v>
      </c>
      <c r="BA145" s="75" t="s">
        <v>206</v>
      </c>
      <c r="BB145" s="75" t="str">
        <f t="shared" si="14"/>
        <v>DEISY JULIETH GARCIA CASTAÑEDA</v>
      </c>
      <c r="BK145" s="73" t="s">
        <v>379</v>
      </c>
      <c r="BL145" s="73" t="str">
        <v>COM MAT ETI DER CUL EMP INV SST</v>
      </c>
    </row>
    <row r="146" spans="1:64" x14ac:dyDescent="0.25">
      <c r="A146" s="70">
        <v>3118512</v>
      </c>
      <c r="B146" s="71" t="s">
        <v>245</v>
      </c>
      <c r="C146" s="71">
        <v>38</v>
      </c>
      <c r="D146" s="72" t="s">
        <v>99</v>
      </c>
      <c r="E146" s="73" t="s">
        <v>116</v>
      </c>
      <c r="F146" s="74">
        <f t="shared" si="11"/>
        <v>46251</v>
      </c>
      <c r="G146" s="73" t="s">
        <v>117</v>
      </c>
      <c r="H146" s="73" t="s">
        <v>246</v>
      </c>
      <c r="J146" s="71" t="s">
        <v>261</v>
      </c>
      <c r="M146" s="70" t="s">
        <v>380</v>
      </c>
      <c r="O146" s="71" t="str">
        <f>VLOOKUP(A146,Hoja4!$A$2:$B$247,2,FALSE)</f>
        <v>JOHN JAIRO LEON MEZA              </v>
      </c>
      <c r="P146" s="71" t="s">
        <v>231</v>
      </c>
      <c r="Q146" s="73" t="s">
        <v>263</v>
      </c>
      <c r="R146" s="71" t="s">
        <v>263</v>
      </c>
      <c r="U146" s="75"/>
      <c r="W146" s="75"/>
      <c r="Y146" s="75"/>
      <c r="AC146" s="75" t="s">
        <v>208</v>
      </c>
      <c r="AD146" s="71" t="s">
        <v>235</v>
      </c>
      <c r="AE146" s="71" t="s">
        <v>209</v>
      </c>
      <c r="AF146" s="71" t="s">
        <v>226</v>
      </c>
      <c r="AG146" s="71" t="s">
        <v>204</v>
      </c>
      <c r="AH146" s="76" t="s">
        <v>205</v>
      </c>
      <c r="AK146" s="71" t="s">
        <v>198</v>
      </c>
      <c r="AL146" s="75" t="s">
        <v>253</v>
      </c>
      <c r="AM146" s="71"/>
      <c r="AN146" s="71"/>
      <c r="AO146" s="71"/>
      <c r="AP146" s="71"/>
      <c r="AQ146" s="71"/>
      <c r="AS146" s="71" t="s">
        <v>200</v>
      </c>
      <c r="AT146" s="75" t="s">
        <v>201</v>
      </c>
      <c r="AV146" s="75" t="s">
        <v>218</v>
      </c>
      <c r="AW146" s="75" t="s">
        <v>196</v>
      </c>
      <c r="AX146" s="75" t="str">
        <f t="shared" si="12"/>
        <v>JORGE ARMANDO PIEDRAHITA</v>
      </c>
      <c r="BA146" s="75" t="s">
        <v>206</v>
      </c>
      <c r="BB146" s="75" t="str">
        <f t="shared" si="14"/>
        <v>MARINELLA DIAZ ACOSTA</v>
      </c>
      <c r="BE146" s="75" t="s">
        <v>194</v>
      </c>
      <c r="BF146" s="75" t="s">
        <v>195</v>
      </c>
      <c r="BK146" s="73" t="s">
        <v>379</v>
      </c>
      <c r="BL146" s="73" t="str">
        <v>COM MAT ETI DER CUL EMP INV SST</v>
      </c>
    </row>
    <row r="147" spans="1:64" x14ac:dyDescent="0.25">
      <c r="A147" s="70">
        <v>3118513</v>
      </c>
      <c r="B147" s="71" t="s">
        <v>245</v>
      </c>
      <c r="C147" s="71">
        <v>42</v>
      </c>
      <c r="D147" s="72" t="s">
        <v>99</v>
      </c>
      <c r="E147" s="73" t="s">
        <v>116</v>
      </c>
      <c r="F147" s="74">
        <f t="shared" si="11"/>
        <v>46251</v>
      </c>
      <c r="G147" s="73" t="s">
        <v>117</v>
      </c>
      <c r="H147" s="73" t="s">
        <v>292</v>
      </c>
      <c r="J147" s="71" t="s">
        <v>261</v>
      </c>
      <c r="M147" s="70" t="s">
        <v>292</v>
      </c>
      <c r="O147" s="71" t="str">
        <f>VLOOKUP(A147,Hoja4!$A$2:$B$247,2,FALSE)</f>
        <v>VIVIANA MARCELA AGUDELO GARCÍA  </v>
      </c>
      <c r="P147" s="71" t="s">
        <v>231</v>
      </c>
      <c r="Q147" s="73" t="s">
        <v>263</v>
      </c>
      <c r="R147" s="71" t="s">
        <v>263</v>
      </c>
      <c r="U147" s="75"/>
      <c r="W147" s="75"/>
      <c r="Y147" s="75"/>
      <c r="AC147" s="75" t="s">
        <v>208</v>
      </c>
      <c r="AD147" s="71" t="s">
        <v>235</v>
      </c>
      <c r="AE147" s="71" t="s">
        <v>209</v>
      </c>
      <c r="AF147" s="71" t="s">
        <v>226</v>
      </c>
      <c r="AG147" s="71" t="s">
        <v>204</v>
      </c>
      <c r="AH147" s="76" t="s">
        <v>221</v>
      </c>
      <c r="AK147" s="71" t="s">
        <v>198</v>
      </c>
      <c r="AL147" s="75" t="s">
        <v>215</v>
      </c>
      <c r="AM147" s="71"/>
      <c r="AN147" s="71"/>
      <c r="AO147" s="71"/>
      <c r="AP147" s="71"/>
      <c r="AQ147" s="71"/>
      <c r="AS147" s="71" t="s">
        <v>200</v>
      </c>
      <c r="AT147" s="75" t="s">
        <v>201</v>
      </c>
      <c r="AV147" s="75" t="s">
        <v>218</v>
      </c>
      <c r="AW147" s="75" t="s">
        <v>196</v>
      </c>
      <c r="AX147" s="75" t="str">
        <f t="shared" si="12"/>
        <v>CESAR AUGUSTO BERMEO</v>
      </c>
      <c r="BA147" s="75" t="s">
        <v>206</v>
      </c>
      <c r="BB147" s="75" t="str">
        <f t="shared" si="14"/>
        <v>JORGE IVAN PEREZ GAITAN</v>
      </c>
      <c r="BK147" s="73" t="s">
        <v>379</v>
      </c>
      <c r="BL147" s="73" t="str">
        <v>COM MAT ETI DER CUL EMP INV SST</v>
      </c>
    </row>
    <row r="148" spans="1:64" x14ac:dyDescent="0.25">
      <c r="A148" s="70">
        <v>3118514</v>
      </c>
      <c r="B148" s="71" t="s">
        <v>245</v>
      </c>
      <c r="C148" s="71">
        <v>43</v>
      </c>
      <c r="D148" s="72" t="s">
        <v>99</v>
      </c>
      <c r="E148" s="73" t="s">
        <v>116</v>
      </c>
      <c r="F148" s="74">
        <f t="shared" si="11"/>
        <v>46251</v>
      </c>
      <c r="G148" s="73" t="s">
        <v>117</v>
      </c>
      <c r="H148" s="73" t="s">
        <v>292</v>
      </c>
      <c r="J148" s="71" t="s">
        <v>261</v>
      </c>
      <c r="M148" s="70" t="s">
        <v>292</v>
      </c>
      <c r="O148" s="71" t="str">
        <f>VLOOKUP(A148,Hoja4!$A$2:$B$247,2,FALSE)</f>
        <v>VIVIANA MARCELA AGUDELO GARCÍA  </v>
      </c>
      <c r="P148" s="71" t="s">
        <v>231</v>
      </c>
      <c r="Q148" s="73" t="s">
        <v>263</v>
      </c>
      <c r="R148" s="71" t="s">
        <v>263</v>
      </c>
      <c r="U148" s="75"/>
      <c r="W148" s="75"/>
      <c r="Y148" s="75"/>
      <c r="AC148" s="75" t="s">
        <v>208</v>
      </c>
      <c r="AD148" s="71" t="s">
        <v>239</v>
      </c>
      <c r="AE148" s="71" t="s">
        <v>209</v>
      </c>
      <c r="AF148" s="71" t="s">
        <v>236</v>
      </c>
      <c r="AG148" s="71" t="s">
        <v>204</v>
      </c>
      <c r="AH148" s="76" t="s">
        <v>205</v>
      </c>
      <c r="AK148" s="71" t="s">
        <v>198</v>
      </c>
      <c r="AL148" s="75" t="s">
        <v>215</v>
      </c>
      <c r="AM148" s="71"/>
      <c r="AN148" s="71"/>
      <c r="AO148" s="71"/>
      <c r="AP148" s="71"/>
      <c r="AQ148" s="71"/>
      <c r="AS148" s="71" t="s">
        <v>200</v>
      </c>
      <c r="AT148" s="75" t="s">
        <v>201</v>
      </c>
      <c r="AV148" s="75" t="s">
        <v>218</v>
      </c>
      <c r="AW148" s="75" t="s">
        <v>196</v>
      </c>
      <c r="AX148" s="75" t="str">
        <f t="shared" si="12"/>
        <v>CESAR AUGUSTO BERMEO</v>
      </c>
      <c r="BA148" s="75" t="s">
        <v>206</v>
      </c>
      <c r="BB148" s="75" t="str">
        <f t="shared" si="14"/>
        <v>MARINELLA DIAZ ACOSTA</v>
      </c>
      <c r="BK148" s="73" t="s">
        <v>379</v>
      </c>
      <c r="BL148" s="73" t="str">
        <v>COM MAT ETI DER CUL EMP INV SST</v>
      </c>
    </row>
    <row r="149" spans="1:64" x14ac:dyDescent="0.25">
      <c r="A149" s="70">
        <v>3118515</v>
      </c>
      <c r="B149" s="71" t="s">
        <v>245</v>
      </c>
      <c r="C149" s="71">
        <v>35</v>
      </c>
      <c r="D149" s="72" t="s">
        <v>99</v>
      </c>
      <c r="E149" s="73" t="s">
        <v>116</v>
      </c>
      <c r="F149" s="74">
        <f t="shared" si="11"/>
        <v>46251</v>
      </c>
      <c r="G149" s="73" t="s">
        <v>117</v>
      </c>
      <c r="H149" s="73" t="s">
        <v>292</v>
      </c>
      <c r="J149" s="71" t="s">
        <v>261</v>
      </c>
      <c r="M149" s="70" t="s">
        <v>292</v>
      </c>
      <c r="O149" s="71" t="str">
        <f>VLOOKUP(A149,Hoja4!$A$2:$B$247,2,FALSE)</f>
        <v>VIVIANA MARCELA AGUDELO GARCÍA  </v>
      </c>
      <c r="P149" s="71" t="s">
        <v>231</v>
      </c>
      <c r="Q149" s="73" t="s">
        <v>263</v>
      </c>
      <c r="R149" s="71" t="s">
        <v>263</v>
      </c>
      <c r="U149" s="75"/>
      <c r="W149" s="75"/>
      <c r="Y149" s="75"/>
      <c r="AC149" s="75" t="s">
        <v>208</v>
      </c>
      <c r="AD149" s="71" t="s">
        <v>239</v>
      </c>
      <c r="AE149" s="71" t="s">
        <v>209</v>
      </c>
      <c r="AF149" s="71" t="s">
        <v>236</v>
      </c>
      <c r="AG149" s="71" t="s">
        <v>204</v>
      </c>
      <c r="AH149" s="76" t="s">
        <v>217</v>
      </c>
      <c r="AK149" s="71" t="s">
        <v>198</v>
      </c>
      <c r="AL149" s="75" t="s">
        <v>225</v>
      </c>
      <c r="AM149" s="71"/>
      <c r="AN149" s="71"/>
      <c r="AO149" s="71"/>
      <c r="AP149" s="71"/>
      <c r="AQ149" s="71"/>
      <c r="AS149" s="71" t="s">
        <v>200</v>
      </c>
      <c r="AT149" s="75" t="s">
        <v>220</v>
      </c>
      <c r="AV149" s="75" t="s">
        <v>218</v>
      </c>
      <c r="AW149" s="75" t="s">
        <v>196</v>
      </c>
      <c r="AX149" s="75" t="str">
        <f t="shared" si="12"/>
        <v>JORGE ARMANDO PIEDRAHITA</v>
      </c>
      <c r="BA149" s="75" t="s">
        <v>206</v>
      </c>
      <c r="BB149" s="75" t="str">
        <f t="shared" si="14"/>
        <v>DEISY JULIETH GARCIA CASTAÑEDA</v>
      </c>
      <c r="BK149" s="73" t="s">
        <v>379</v>
      </c>
      <c r="BL149" s="73" t="str">
        <v>COM MAT ETI DER CUL EMP INV SST</v>
      </c>
    </row>
    <row r="150" spans="1:64" x14ac:dyDescent="0.25">
      <c r="A150" s="70">
        <v>3134550</v>
      </c>
      <c r="B150" s="71" t="s">
        <v>245</v>
      </c>
      <c r="C150" s="71">
        <v>46</v>
      </c>
      <c r="D150" s="72" t="s">
        <v>271</v>
      </c>
      <c r="E150" s="73" t="s">
        <v>118</v>
      </c>
      <c r="F150" s="74">
        <f t="shared" si="11"/>
        <v>46273</v>
      </c>
      <c r="G150" s="73" t="s">
        <v>119</v>
      </c>
      <c r="H150" s="73" t="s">
        <v>282</v>
      </c>
      <c r="J150" s="71" t="s">
        <v>226</v>
      </c>
      <c r="M150" s="70" t="s">
        <v>283</v>
      </c>
      <c r="O150" s="71" t="str">
        <f>VLOOKUP(A150,Hoja4!$A$2:$B$247,2,FALSE)</f>
        <v>ELIZABETH GELVES GELVES</v>
      </c>
      <c r="P150" s="71" t="s">
        <v>192</v>
      </c>
      <c r="Q150" s="73" t="s">
        <v>274</v>
      </c>
      <c r="R150" s="71" t="s">
        <v>274</v>
      </c>
      <c r="U150" s="75"/>
      <c r="W150" s="75"/>
      <c r="Y150" s="75"/>
      <c r="AC150" s="75" t="s">
        <v>204</v>
      </c>
      <c r="AD150" s="71" t="s">
        <v>205</v>
      </c>
      <c r="AE150" s="71" t="s">
        <v>202</v>
      </c>
      <c r="AF150" s="71" t="s">
        <v>216</v>
      </c>
      <c r="AG150" s="71" t="s">
        <v>209</v>
      </c>
      <c r="AH150" s="76" t="s">
        <v>228</v>
      </c>
      <c r="AK150" s="71" t="s">
        <v>200</v>
      </c>
      <c r="AL150" s="75" t="s">
        <v>220</v>
      </c>
      <c r="AM150" s="71"/>
      <c r="AN150" s="71"/>
      <c r="AO150" s="71" t="s">
        <v>198</v>
      </c>
      <c r="AP150" s="71" t="s">
        <v>253</v>
      </c>
      <c r="AQ150" s="71"/>
      <c r="AS150" s="71" t="s">
        <v>194</v>
      </c>
      <c r="AT150" s="75" t="s">
        <v>195</v>
      </c>
      <c r="AV150" s="75" t="s">
        <v>218</v>
      </c>
      <c r="AW150" s="75" t="s">
        <v>208</v>
      </c>
      <c r="AX150" s="75" t="str">
        <f t="shared" si="12"/>
        <v>MARIA CAROLINA GOMEZ CALLE</v>
      </c>
      <c r="BE150" s="75" t="s">
        <v>196</v>
      </c>
      <c r="BF150" s="75" t="s">
        <v>197</v>
      </c>
      <c r="BK150" s="73" t="s">
        <v>379</v>
      </c>
      <c r="BL150" s="73" t="str">
        <v>MAT ETI DER CUL EMP INV SST</v>
      </c>
    </row>
    <row r="151" spans="1:64" x14ac:dyDescent="0.25">
      <c r="A151" s="70">
        <v>3134586</v>
      </c>
      <c r="B151" s="71" t="s">
        <v>245</v>
      </c>
      <c r="C151" s="71">
        <v>39</v>
      </c>
      <c r="D151" s="72" t="s">
        <v>99</v>
      </c>
      <c r="E151" s="73" t="s">
        <v>118</v>
      </c>
      <c r="F151" s="74">
        <f t="shared" si="11"/>
        <v>46273</v>
      </c>
      <c r="G151" s="73" t="s">
        <v>119</v>
      </c>
      <c r="H151" s="73" t="s">
        <v>356</v>
      </c>
      <c r="J151" s="71" t="s">
        <v>261</v>
      </c>
      <c r="M151" s="70" t="s">
        <v>261</v>
      </c>
      <c r="O151" s="71" t="str">
        <f>VLOOKUP(A151,Hoja4!$A$2:$B$247,2,FALSE)</f>
        <v>GUSTAVO ADOLFO MORALES CAMARGO</v>
      </c>
      <c r="P151" s="71" t="s">
        <v>329</v>
      </c>
      <c r="Q151" s="73" t="s">
        <v>263</v>
      </c>
      <c r="R151" s="71" t="s">
        <v>263</v>
      </c>
      <c r="U151" s="75"/>
      <c r="W151" s="75"/>
      <c r="Y151" s="75"/>
      <c r="AC151" s="75"/>
      <c r="AE151" s="71" t="s">
        <v>209</v>
      </c>
      <c r="AF151" s="71" t="s">
        <v>226</v>
      </c>
      <c r="AG151" s="71" t="s">
        <v>198</v>
      </c>
      <c r="AH151" s="76" t="s">
        <v>199</v>
      </c>
      <c r="AK151" s="71"/>
      <c r="AL151" s="75" t="s">
        <v>218</v>
      </c>
      <c r="AM151" s="71"/>
      <c r="AN151" s="71"/>
      <c r="AO151" s="71" t="s">
        <v>204</v>
      </c>
      <c r="AP151" s="71" t="s">
        <v>221</v>
      </c>
      <c r="AQ151" s="71"/>
      <c r="AS151" s="71" t="s">
        <v>202</v>
      </c>
      <c r="AT151" s="75" t="s">
        <v>203</v>
      </c>
      <c r="AV151" s="75" t="s">
        <v>218</v>
      </c>
      <c r="AW151" s="75" t="s">
        <v>200</v>
      </c>
      <c r="AX151" s="75" t="str">
        <f t="shared" si="12"/>
        <v>ELKIN DURAN MANCIPE</v>
      </c>
      <c r="BA151" s="75" t="s">
        <v>208</v>
      </c>
      <c r="BB151" s="75" t="str">
        <f>VLOOKUP(A151,_p8_2025,2,FALSE)</f>
        <v>HECTOR ANDRES CIPAMOCHA CENTENO</v>
      </c>
      <c r="BE151" s="75" t="s">
        <v>196</v>
      </c>
      <c r="BF151" s="75" t="s">
        <v>197</v>
      </c>
      <c r="BK151" s="73" t="s">
        <v>379</v>
      </c>
      <c r="BL151" s="73" t="str">
        <v>MAT ETI DER CUL EMP INV SST</v>
      </c>
    </row>
    <row r="152" spans="1:64" x14ac:dyDescent="0.25">
      <c r="A152" s="70">
        <v>3134618</v>
      </c>
      <c r="B152" s="71" t="s">
        <v>245</v>
      </c>
      <c r="C152" s="71">
        <v>44</v>
      </c>
      <c r="D152" s="72" t="s">
        <v>99</v>
      </c>
      <c r="E152" s="73" t="s">
        <v>118</v>
      </c>
      <c r="F152" s="74">
        <f t="shared" si="11"/>
        <v>46273</v>
      </c>
      <c r="G152" s="73" t="s">
        <v>119</v>
      </c>
      <c r="H152" s="73" t="s">
        <v>356</v>
      </c>
      <c r="J152" s="71" t="s">
        <v>261</v>
      </c>
      <c r="M152" s="70" t="s">
        <v>261</v>
      </c>
      <c r="O152" s="71" t="str">
        <f>VLOOKUP(A152,Hoja4!$A$2:$B$247,2,FALSE)</f>
        <v>GUSTAVO ADOLFO MORALES CAMARGO</v>
      </c>
      <c r="P152" s="71" t="s">
        <v>329</v>
      </c>
      <c r="Q152" s="73" t="s">
        <v>263</v>
      </c>
      <c r="R152" s="71" t="s">
        <v>263</v>
      </c>
      <c r="U152" s="75"/>
      <c r="W152" s="75"/>
      <c r="Y152" s="75"/>
      <c r="AC152" s="75"/>
      <c r="AE152" s="71" t="s">
        <v>209</v>
      </c>
      <c r="AF152" s="71" t="s">
        <v>226</v>
      </c>
      <c r="AG152" s="71" t="s">
        <v>198</v>
      </c>
      <c r="AH152" s="76" t="s">
        <v>299</v>
      </c>
      <c r="AK152" s="71"/>
      <c r="AL152" s="75" t="s">
        <v>218</v>
      </c>
      <c r="AM152" s="71"/>
      <c r="AN152" s="71"/>
      <c r="AO152" s="71" t="s">
        <v>204</v>
      </c>
      <c r="AP152" s="71" t="s">
        <v>221</v>
      </c>
      <c r="AQ152" s="71"/>
      <c r="AS152" s="71" t="s">
        <v>202</v>
      </c>
      <c r="AT152" s="75" t="s">
        <v>203</v>
      </c>
      <c r="AV152" s="75" t="s">
        <v>218</v>
      </c>
      <c r="AW152" s="75" t="s">
        <v>200</v>
      </c>
      <c r="AX152" s="75" t="str">
        <f t="shared" si="12"/>
        <v>WILDER JULIAN ARIAS HERNANDEZ</v>
      </c>
      <c r="BA152" s="75" t="s">
        <v>208</v>
      </c>
      <c r="BB152" s="75" t="str">
        <f>VLOOKUP(A152,_p8_2025,2,FALSE)</f>
        <v>HECTOR ANDRES CIPAMOCHA CENTENO</v>
      </c>
      <c r="BE152" s="75" t="s">
        <v>196</v>
      </c>
      <c r="BF152" s="75" t="s">
        <v>197</v>
      </c>
      <c r="BK152" s="73" t="s">
        <v>379</v>
      </c>
      <c r="BL152" s="73" t="str">
        <v>MAT ETI DER CUL EMP INV SST</v>
      </c>
    </row>
    <row r="153" spans="1:64" x14ac:dyDescent="0.25">
      <c r="A153" s="70">
        <v>3134621</v>
      </c>
      <c r="B153" s="71" t="s">
        <v>245</v>
      </c>
      <c r="C153" s="71">
        <v>41</v>
      </c>
      <c r="D153" s="72" t="s">
        <v>271</v>
      </c>
      <c r="E153" s="73" t="s">
        <v>118</v>
      </c>
      <c r="F153" s="74">
        <f t="shared" si="11"/>
        <v>46273</v>
      </c>
      <c r="G153" s="73" t="s">
        <v>119</v>
      </c>
      <c r="H153" s="73" t="s">
        <v>282</v>
      </c>
      <c r="J153" s="71" t="s">
        <v>226</v>
      </c>
      <c r="M153" s="70" t="s">
        <v>283</v>
      </c>
      <c r="O153" s="71" t="str">
        <f>VLOOKUP(A153,Hoja4!$A$2:$B$247,2,FALSE)</f>
        <v>ELIZABETH GELVES GELVES</v>
      </c>
      <c r="P153" s="71" t="s">
        <v>192</v>
      </c>
      <c r="Q153" s="73" t="s">
        <v>274</v>
      </c>
      <c r="R153" s="71" t="s">
        <v>274</v>
      </c>
      <c r="U153" s="75"/>
      <c r="W153" s="75"/>
      <c r="Y153" s="75"/>
      <c r="AC153" s="75" t="s">
        <v>204</v>
      </c>
      <c r="AD153" s="71" t="s">
        <v>221</v>
      </c>
      <c r="AE153" s="71" t="s">
        <v>202</v>
      </c>
      <c r="AF153" s="71" t="s">
        <v>216</v>
      </c>
      <c r="AG153" s="71" t="s">
        <v>209</v>
      </c>
      <c r="AH153" s="76" t="s">
        <v>228</v>
      </c>
      <c r="AK153" s="71" t="s">
        <v>200</v>
      </c>
      <c r="AL153" s="75" t="s">
        <v>214</v>
      </c>
      <c r="AM153" s="71"/>
      <c r="AN153" s="71"/>
      <c r="AO153" s="71" t="s">
        <v>198</v>
      </c>
      <c r="AP153" s="71" t="s">
        <v>199</v>
      </c>
      <c r="AQ153" s="71"/>
      <c r="AS153" s="71" t="s">
        <v>194</v>
      </c>
      <c r="AT153" s="75" t="s">
        <v>195</v>
      </c>
      <c r="AV153" s="75" t="s">
        <v>218</v>
      </c>
      <c r="AW153" s="75" t="s">
        <v>208</v>
      </c>
      <c r="AX153" s="75" t="str">
        <f t="shared" si="12"/>
        <v>LAURA STHEPHANIA SANCHEZ PABON</v>
      </c>
      <c r="BE153" s="75" t="s">
        <v>196</v>
      </c>
      <c r="BF153" s="75" t="s">
        <v>197</v>
      </c>
      <c r="BK153" s="73" t="s">
        <v>379</v>
      </c>
      <c r="BL153" s="73" t="str">
        <v>MAT ETI DER CUL EMP INV SST</v>
      </c>
    </row>
    <row r="154" spans="1:64" x14ac:dyDescent="0.25">
      <c r="A154" s="70">
        <v>3134622</v>
      </c>
      <c r="B154" s="71" t="s">
        <v>245</v>
      </c>
      <c r="C154" s="71">
        <v>43</v>
      </c>
      <c r="D154" s="72" t="s">
        <v>271</v>
      </c>
      <c r="E154" s="73" t="s">
        <v>118</v>
      </c>
      <c r="F154" s="74">
        <f t="shared" si="11"/>
        <v>46273</v>
      </c>
      <c r="G154" s="73" t="s">
        <v>119</v>
      </c>
      <c r="H154" s="73" t="s">
        <v>282</v>
      </c>
      <c r="J154" s="71" t="s">
        <v>226</v>
      </c>
      <c r="M154" s="70" t="s">
        <v>283</v>
      </c>
      <c r="O154" s="71" t="str">
        <f>VLOOKUP(A154,Hoja4!$A$2:$B$247,2,FALSE)</f>
        <v>FERNANDO FORERO GOMEZ</v>
      </c>
      <c r="P154" s="71" t="s">
        <v>192</v>
      </c>
      <c r="Q154" s="73" t="s">
        <v>274</v>
      </c>
      <c r="R154" s="71" t="s">
        <v>274</v>
      </c>
      <c r="U154" s="75"/>
      <c r="W154" s="75"/>
      <c r="Y154" s="75"/>
      <c r="AC154" s="75"/>
      <c r="AE154" s="71" t="s">
        <v>202</v>
      </c>
      <c r="AF154" s="71" t="s">
        <v>216</v>
      </c>
      <c r="AG154" s="71" t="s">
        <v>200</v>
      </c>
      <c r="AH154" s="76" t="s">
        <v>220</v>
      </c>
      <c r="AK154" s="71" t="s">
        <v>198</v>
      </c>
      <c r="AL154" s="75" t="s">
        <v>225</v>
      </c>
      <c r="AM154" s="71"/>
      <c r="AN154" s="71"/>
      <c r="AO154" s="71" t="s">
        <v>204</v>
      </c>
      <c r="AP154" s="71" t="s">
        <v>221</v>
      </c>
      <c r="AQ154" s="71"/>
      <c r="AS154" s="71" t="s">
        <v>194</v>
      </c>
      <c r="AT154" s="75" t="s">
        <v>195</v>
      </c>
      <c r="AV154" s="75" t="s">
        <v>218</v>
      </c>
      <c r="AW154" s="75" t="s">
        <v>208</v>
      </c>
      <c r="AX154" s="75" t="str">
        <f t="shared" ref="AX154:AX182" si="15">IFERROR(VLOOKUP(A154,_p7_2025,2,FALSE),"")</f>
        <v>HECTOR ANDRES CIPAMOCHA CENTENO</v>
      </c>
      <c r="BA154" s="75" t="s">
        <v>209</v>
      </c>
      <c r="BB154" s="75" t="str">
        <f t="shared" ref="BB154:BB165" si="16">VLOOKUP(A154,_p8_2025,2,FALSE)</f>
        <v>ALBERTO ANTONIO TAPIA TORRES</v>
      </c>
      <c r="BE154" s="75" t="s">
        <v>196</v>
      </c>
      <c r="BF154" s="75" t="s">
        <v>197</v>
      </c>
      <c r="BK154" s="73" t="s">
        <v>379</v>
      </c>
      <c r="BL154" s="73" t="str">
        <v>MAT ETI DER CUL EMP INV SST</v>
      </c>
    </row>
    <row r="155" spans="1:64" x14ac:dyDescent="0.25">
      <c r="A155" s="70">
        <v>3134623</v>
      </c>
      <c r="B155" s="71" t="s">
        <v>245</v>
      </c>
      <c r="C155" s="71">
        <v>41</v>
      </c>
      <c r="D155" s="72" t="s">
        <v>271</v>
      </c>
      <c r="E155" s="73" t="s">
        <v>118</v>
      </c>
      <c r="F155" s="74">
        <f t="shared" si="11"/>
        <v>46273</v>
      </c>
      <c r="G155" s="73" t="s">
        <v>119</v>
      </c>
      <c r="H155" s="73" t="s">
        <v>282</v>
      </c>
      <c r="J155" s="71" t="s">
        <v>226</v>
      </c>
      <c r="M155" s="70" t="s">
        <v>283</v>
      </c>
      <c r="O155" s="71" t="str">
        <f>VLOOKUP(A155,Hoja4!$A$2:$B$247,2,FALSE)</f>
        <v>FERNANDO FORERO GOMEZ</v>
      </c>
      <c r="P155" s="71" t="s">
        <v>192</v>
      </c>
      <c r="Q155" s="73" t="s">
        <v>274</v>
      </c>
      <c r="R155" s="71" t="s">
        <v>274</v>
      </c>
      <c r="U155" s="75"/>
      <c r="W155" s="75"/>
      <c r="Y155" s="75"/>
      <c r="AC155" s="75" t="s">
        <v>204</v>
      </c>
      <c r="AD155" s="71" t="s">
        <v>205</v>
      </c>
      <c r="AE155" s="71" t="s">
        <v>202</v>
      </c>
      <c r="AF155" s="71" t="s">
        <v>216</v>
      </c>
      <c r="AG155" s="71" t="s">
        <v>200</v>
      </c>
      <c r="AH155" s="76" t="s">
        <v>214</v>
      </c>
      <c r="AK155" s="71" t="s">
        <v>198</v>
      </c>
      <c r="AL155" s="75" t="s">
        <v>225</v>
      </c>
      <c r="AM155" s="71"/>
      <c r="AN155" s="71"/>
      <c r="AO155" s="71" t="s">
        <v>196</v>
      </c>
      <c r="AP155" s="71" t="s">
        <v>197</v>
      </c>
      <c r="AQ155" s="71"/>
      <c r="AS155" s="71" t="s">
        <v>209</v>
      </c>
      <c r="AT155" s="75" t="s">
        <v>226</v>
      </c>
      <c r="AV155" s="75" t="s">
        <v>218</v>
      </c>
      <c r="AW155" s="75" t="s">
        <v>254</v>
      </c>
      <c r="AX155" s="75" t="str">
        <f t="shared" si="15"/>
        <v>CINDY YOHANA BOHORQUEZ GARZON</v>
      </c>
      <c r="BA155" s="75" t="s">
        <v>194</v>
      </c>
      <c r="BB155" s="75" t="str">
        <f t="shared" si="16"/>
        <v>CAMILO ERNESTO CALDERON GALINDO</v>
      </c>
      <c r="BE155" s="75" t="s">
        <v>208</v>
      </c>
      <c r="BF155" s="75" t="s">
        <v>278</v>
      </c>
      <c r="BK155" s="73" t="s">
        <v>379</v>
      </c>
      <c r="BL155" s="73" t="str">
        <v>COM MAT ETI CUL EMP INV SST</v>
      </c>
    </row>
    <row r="156" spans="1:64" x14ac:dyDescent="0.25">
      <c r="A156" s="70">
        <v>3185927</v>
      </c>
      <c r="B156" s="71" t="s">
        <v>245</v>
      </c>
      <c r="C156" s="71">
        <v>62</v>
      </c>
      <c r="D156" s="72" t="s">
        <v>101</v>
      </c>
      <c r="E156" s="73" t="s">
        <v>88</v>
      </c>
      <c r="F156" s="74">
        <f t="shared" si="11"/>
        <v>46386</v>
      </c>
      <c r="G156" s="73" t="s">
        <v>120</v>
      </c>
      <c r="H156" s="73"/>
      <c r="K156" s="71" t="s">
        <v>377</v>
      </c>
      <c r="M156" s="70" t="s">
        <v>377</v>
      </c>
      <c r="O156" s="71" t="str">
        <f>VLOOKUP(A156,Hoja4!$A$2:$B$247,2,FALSE)</f>
        <v>DARLING NATHALI GOMEZ OSPINA        </v>
      </c>
      <c r="P156" s="71" t="s">
        <v>300</v>
      </c>
      <c r="Q156" s="73" t="s">
        <v>297</v>
      </c>
      <c r="U156" s="75"/>
      <c r="W156" s="75"/>
      <c r="Y156" s="75"/>
      <c r="AC156" s="75"/>
      <c r="AG156" s="71" t="s">
        <v>208</v>
      </c>
      <c r="AH156" s="76" t="s">
        <v>278</v>
      </c>
      <c r="AK156" s="71" t="s">
        <v>254</v>
      </c>
      <c r="AL156" s="75" t="s">
        <v>255</v>
      </c>
      <c r="AM156" s="71"/>
      <c r="AN156" s="71"/>
      <c r="AO156" s="71" t="s">
        <v>196</v>
      </c>
      <c r="AP156" s="71" t="s">
        <v>244</v>
      </c>
      <c r="AQ156" s="71"/>
      <c r="AS156" s="71" t="s">
        <v>198</v>
      </c>
      <c r="AT156" s="75" t="s">
        <v>225</v>
      </c>
      <c r="AV156" s="75" t="s">
        <v>218</v>
      </c>
      <c r="AW156" s="75" t="s">
        <v>204</v>
      </c>
      <c r="AX156" s="75" t="str">
        <f t="shared" si="15"/>
        <v>OLGA STELLA PARDO SARAY</v>
      </c>
      <c r="BA156" s="75" t="s">
        <v>200</v>
      </c>
      <c r="BB156" s="75" t="str">
        <f t="shared" si="16"/>
        <v>WILDER JULIAN ARIAS HERNANDEZ</v>
      </c>
      <c r="BE156" s="75" t="s">
        <v>209</v>
      </c>
      <c r="BF156" s="75" t="s">
        <v>236</v>
      </c>
      <c r="BG156" s="75" t="s">
        <v>202</v>
      </c>
      <c r="BH156" s="75" t="s">
        <v>203</v>
      </c>
      <c r="BK156" s="73" t="s">
        <v>379</v>
      </c>
      <c r="BL156" s="73" t="str">
        <v>COM MAT ETI DER INV SST</v>
      </c>
    </row>
    <row r="157" spans="1:64" x14ac:dyDescent="0.25">
      <c r="A157" s="70">
        <v>3185928</v>
      </c>
      <c r="B157" s="71" t="s">
        <v>245</v>
      </c>
      <c r="C157" s="71">
        <v>66</v>
      </c>
      <c r="D157" s="72" t="s">
        <v>101</v>
      </c>
      <c r="E157" s="73" t="s">
        <v>88</v>
      </c>
      <c r="F157" s="74">
        <f t="shared" si="11"/>
        <v>46386</v>
      </c>
      <c r="G157" s="73" t="s">
        <v>120</v>
      </c>
      <c r="H157" s="73"/>
      <c r="K157" s="71" t="s">
        <v>377</v>
      </c>
      <c r="M157" s="70" t="s">
        <v>381</v>
      </c>
      <c r="O157" s="71" t="str">
        <f>VLOOKUP(A157,Hoja4!$A$2:$B$247,2,FALSE)</f>
        <v>EDGAR  HERNANDO SANTANA ORDOÑEZ            </v>
      </c>
      <c r="P157" s="71" t="s">
        <v>300</v>
      </c>
      <c r="Q157" s="73" t="s">
        <v>297</v>
      </c>
      <c r="U157" s="75"/>
      <c r="W157" s="75"/>
      <c r="Y157" s="75"/>
      <c r="AC157" s="75"/>
      <c r="AG157" s="71" t="s">
        <v>208</v>
      </c>
      <c r="AH157" s="76" t="s">
        <v>235</v>
      </c>
      <c r="AK157" s="71" t="s">
        <v>254</v>
      </c>
      <c r="AL157" s="75" t="s">
        <v>255</v>
      </c>
      <c r="AM157" s="71"/>
      <c r="AN157" s="71"/>
      <c r="AO157" s="71" t="s">
        <v>196</v>
      </c>
      <c r="AP157" s="71" t="s">
        <v>197</v>
      </c>
      <c r="AQ157" s="71"/>
      <c r="AS157" s="71" t="s">
        <v>198</v>
      </c>
      <c r="AT157" s="75" t="s">
        <v>253</v>
      </c>
      <c r="AV157" s="75" t="s">
        <v>218</v>
      </c>
      <c r="AW157" s="75" t="s">
        <v>204</v>
      </c>
      <c r="AX157" s="75" t="str">
        <f t="shared" si="15"/>
        <v>IVAN DARIO RODRIGUEZ BUSTAMANTE</v>
      </c>
      <c r="BA157" s="75" t="s">
        <v>200</v>
      </c>
      <c r="BB157" s="75" t="str">
        <f t="shared" si="16"/>
        <v>WILDER JULIAN ARIAS HERNANDEZ</v>
      </c>
      <c r="BE157" s="75" t="s">
        <v>209</v>
      </c>
      <c r="BF157" s="75" t="s">
        <v>236</v>
      </c>
      <c r="BG157" s="75" t="s">
        <v>202</v>
      </c>
      <c r="BH157" s="75" t="s">
        <v>203</v>
      </c>
      <c r="BK157" s="73" t="s">
        <v>379</v>
      </c>
      <c r="BL157" s="73" t="str">
        <v>COM MAT ETI DER INV SST</v>
      </c>
    </row>
    <row r="158" spans="1:64" x14ac:dyDescent="0.25">
      <c r="A158" s="70">
        <v>3185929</v>
      </c>
      <c r="B158" s="71" t="s">
        <v>245</v>
      </c>
      <c r="C158" s="71">
        <v>53</v>
      </c>
      <c r="D158" s="72" t="s">
        <v>101</v>
      </c>
      <c r="E158" s="73" t="s">
        <v>88</v>
      </c>
      <c r="F158" s="74">
        <f t="shared" si="11"/>
        <v>46386</v>
      </c>
      <c r="G158" s="73" t="s">
        <v>120</v>
      </c>
      <c r="H158" s="73"/>
      <c r="K158" s="71" t="s">
        <v>377</v>
      </c>
      <c r="M158" s="70" t="s">
        <v>381</v>
      </c>
      <c r="O158" s="71" t="str">
        <f>VLOOKUP(A158,Hoja4!$A$2:$B$247,2,FALSE)</f>
        <v>EDGAR  HERNANDO SANTANA ORDOÑEZ            </v>
      </c>
      <c r="P158" s="71" t="s">
        <v>300</v>
      </c>
      <c r="Q158" s="73" t="s">
        <v>297</v>
      </c>
      <c r="U158" s="75"/>
      <c r="W158" s="75"/>
      <c r="Y158" s="75"/>
      <c r="AC158" s="75"/>
      <c r="AG158" s="71" t="s">
        <v>208</v>
      </c>
      <c r="AH158" s="76" t="s">
        <v>239</v>
      </c>
      <c r="AK158" s="71" t="s">
        <v>254</v>
      </c>
      <c r="AL158" s="75" t="s">
        <v>255</v>
      </c>
      <c r="AM158" s="71"/>
      <c r="AN158" s="71"/>
      <c r="AO158" s="71" t="s">
        <v>196</v>
      </c>
      <c r="AP158" s="71" t="s">
        <v>197</v>
      </c>
      <c r="AQ158" s="71"/>
      <c r="AS158" s="71" t="s">
        <v>198</v>
      </c>
      <c r="AT158" s="75" t="s">
        <v>225</v>
      </c>
      <c r="AV158" s="75" t="s">
        <v>218</v>
      </c>
      <c r="AW158" s="75" t="s">
        <v>204</v>
      </c>
      <c r="AX158" s="75" t="str">
        <f t="shared" si="15"/>
        <v>NELSON ALFREDO VARGAS MORA</v>
      </c>
      <c r="BA158" s="75" t="s">
        <v>200</v>
      </c>
      <c r="BB158" s="75" t="str">
        <f t="shared" si="16"/>
        <v>JULIANA HERNANDEZ BARRERA</v>
      </c>
      <c r="BE158" s="75" t="s">
        <v>209</v>
      </c>
      <c r="BF158" s="75" t="s">
        <v>228</v>
      </c>
      <c r="BK158" s="73" t="s">
        <v>382</v>
      </c>
      <c r="BL158" s="73" t="str">
        <v>COM INV FIS ETI SST CUL DER</v>
      </c>
    </row>
    <row r="159" spans="1:64" x14ac:dyDescent="0.25">
      <c r="A159" s="70">
        <v>3185930</v>
      </c>
      <c r="B159" s="71" t="s">
        <v>245</v>
      </c>
      <c r="C159" s="71">
        <v>61</v>
      </c>
      <c r="D159" s="72" t="s">
        <v>101</v>
      </c>
      <c r="E159" s="73" t="s">
        <v>88</v>
      </c>
      <c r="F159" s="74">
        <f t="shared" si="11"/>
        <v>46386</v>
      </c>
      <c r="G159" s="73" t="s">
        <v>120</v>
      </c>
      <c r="H159" s="73"/>
      <c r="K159" s="71" t="s">
        <v>383</v>
      </c>
      <c r="M159" s="70" t="s">
        <v>381</v>
      </c>
      <c r="O159" s="71" t="str">
        <f>VLOOKUP(A159,Hoja4!$A$2:$B$247,2,FALSE)</f>
        <v>EDGAR  HERNANDO SANTANA ORDOÑEZ            </v>
      </c>
      <c r="P159" s="71" t="s">
        <v>300</v>
      </c>
      <c r="Q159" s="73" t="s">
        <v>297</v>
      </c>
      <c r="U159" s="75"/>
      <c r="W159" s="75"/>
      <c r="Y159" s="75"/>
      <c r="AC159" s="75"/>
      <c r="AG159" s="71" t="s">
        <v>208</v>
      </c>
      <c r="AH159" s="76" t="s">
        <v>239</v>
      </c>
      <c r="AK159" s="71" t="s">
        <v>254</v>
      </c>
      <c r="AL159" s="75" t="s">
        <v>255</v>
      </c>
      <c r="AM159" s="71"/>
      <c r="AN159" s="71"/>
      <c r="AO159" s="71" t="s">
        <v>196</v>
      </c>
      <c r="AP159" s="71" t="s">
        <v>244</v>
      </c>
      <c r="AQ159" s="71"/>
      <c r="AS159" s="71" t="s">
        <v>198</v>
      </c>
      <c r="AT159" s="75" t="s">
        <v>199</v>
      </c>
      <c r="AV159" s="75" t="s">
        <v>218</v>
      </c>
      <c r="AW159" s="75" t="s">
        <v>204</v>
      </c>
      <c r="AX159" s="75" t="str">
        <f t="shared" si="15"/>
        <v>NELSON ALFREDO VARGAS MORA</v>
      </c>
      <c r="BA159" s="75" t="s">
        <v>200</v>
      </c>
      <c r="BB159" s="75" t="str">
        <f t="shared" si="16"/>
        <v>JULIANA HERNANDEZ BARRERA</v>
      </c>
      <c r="BE159" s="75" t="s">
        <v>209</v>
      </c>
      <c r="BF159" s="75" t="s">
        <v>228</v>
      </c>
      <c r="BK159" s="73" t="s">
        <v>382</v>
      </c>
      <c r="BL159" s="73" t="str">
        <v>COM INV FIS ETI SST CUL DER</v>
      </c>
    </row>
    <row r="160" spans="1:64" x14ac:dyDescent="0.25">
      <c r="A160" s="70">
        <v>3185931</v>
      </c>
      <c r="B160" s="71" t="s">
        <v>245</v>
      </c>
      <c r="C160" s="71">
        <v>60</v>
      </c>
      <c r="D160" s="72" t="s">
        <v>101</v>
      </c>
      <c r="E160" s="73" t="s">
        <v>88</v>
      </c>
      <c r="F160" s="74">
        <f t="shared" si="11"/>
        <v>46386</v>
      </c>
      <c r="G160" s="73" t="s">
        <v>120</v>
      </c>
      <c r="H160" s="73"/>
      <c r="K160" s="71" t="s">
        <v>383</v>
      </c>
      <c r="M160" s="70" t="s">
        <v>381</v>
      </c>
      <c r="O160" s="71" t="str">
        <f>VLOOKUP(A160,Hoja4!$A$2:$B$247,2,FALSE)</f>
        <v>EDGAR  HERNANDO SANTANA ORDOÑEZ            </v>
      </c>
      <c r="P160" s="71" t="s">
        <v>300</v>
      </c>
      <c r="Q160" s="73" t="s">
        <v>297</v>
      </c>
      <c r="U160" s="75"/>
      <c r="W160" s="75"/>
      <c r="Y160" s="75"/>
      <c r="AC160" s="75"/>
      <c r="AG160" s="71" t="s">
        <v>208</v>
      </c>
      <c r="AH160" s="76" t="s">
        <v>278</v>
      </c>
      <c r="AK160" s="71" t="s">
        <v>254</v>
      </c>
      <c r="AL160" s="75" t="s">
        <v>255</v>
      </c>
      <c r="AM160" s="71"/>
      <c r="AN160" s="71"/>
      <c r="AO160" s="71" t="s">
        <v>196</v>
      </c>
      <c r="AP160" s="71" t="s">
        <v>244</v>
      </c>
      <c r="AQ160" s="71"/>
      <c r="AS160" s="71" t="s">
        <v>198</v>
      </c>
      <c r="AT160" s="75" t="s">
        <v>199</v>
      </c>
      <c r="AV160" s="75" t="s">
        <v>218</v>
      </c>
      <c r="AW160" s="75" t="s">
        <v>200</v>
      </c>
      <c r="AX160" s="75" t="str">
        <f t="shared" si="15"/>
        <v>WILDER JULIAN ARIAS HERNANDEZ</v>
      </c>
      <c r="BA160" s="75" t="s">
        <v>204</v>
      </c>
      <c r="BB160" s="75" t="str">
        <f t="shared" si="16"/>
        <v>IVAN DARIO RODRIGUEZ BUSTAMANTE</v>
      </c>
      <c r="BE160" s="75" t="s">
        <v>209</v>
      </c>
      <c r="BF160" s="75" t="s">
        <v>228</v>
      </c>
      <c r="BK160" s="73" t="s">
        <v>382</v>
      </c>
      <c r="BL160" s="73" t="str">
        <v>COM INV FIS ETI SST CUL DER</v>
      </c>
    </row>
    <row r="161" spans="1:64" x14ac:dyDescent="0.25">
      <c r="A161" s="70">
        <v>3185932</v>
      </c>
      <c r="B161" s="71" t="s">
        <v>245</v>
      </c>
      <c r="C161" s="71">
        <v>60</v>
      </c>
      <c r="D161" s="72" t="s">
        <v>101</v>
      </c>
      <c r="E161" s="73" t="s">
        <v>88</v>
      </c>
      <c r="F161" s="74">
        <f t="shared" si="11"/>
        <v>46386</v>
      </c>
      <c r="G161" s="73" t="s">
        <v>120</v>
      </c>
      <c r="H161" s="73"/>
      <c r="K161" s="71" t="s">
        <v>383</v>
      </c>
      <c r="M161" s="70" t="s">
        <v>384</v>
      </c>
      <c r="O161" s="71" t="str">
        <f>VLOOKUP(A161,Hoja4!$A$2:$B$247,2,FALSE)</f>
        <v>LUIS GABRIEL GRANADOS YEPES              </v>
      </c>
      <c r="P161" s="71" t="s">
        <v>300</v>
      </c>
      <c r="Q161" s="73" t="s">
        <v>297</v>
      </c>
      <c r="U161" s="75"/>
      <c r="W161" s="75"/>
      <c r="Y161" s="75"/>
      <c r="AC161" s="75"/>
      <c r="AG161" s="71" t="s">
        <v>208</v>
      </c>
      <c r="AH161" s="76" t="s">
        <v>278</v>
      </c>
      <c r="AK161" s="71" t="s">
        <v>254</v>
      </c>
      <c r="AL161" s="75" t="s">
        <v>255</v>
      </c>
      <c r="AM161" s="71"/>
      <c r="AN161" s="71"/>
      <c r="AO161" s="71" t="s">
        <v>196</v>
      </c>
      <c r="AP161" s="71" t="s">
        <v>244</v>
      </c>
      <c r="AQ161" s="71"/>
      <c r="AS161" s="71" t="s">
        <v>198</v>
      </c>
      <c r="AT161" s="75" t="s">
        <v>299</v>
      </c>
      <c r="AV161" s="75" t="s">
        <v>218</v>
      </c>
      <c r="AW161" s="75" t="s">
        <v>200</v>
      </c>
      <c r="AX161" s="75" t="str">
        <f t="shared" si="15"/>
        <v>WILDER JULIAN ARIAS HERNANDEZ</v>
      </c>
      <c r="BA161" s="75" t="s">
        <v>204</v>
      </c>
      <c r="BB161" s="75" t="str">
        <f t="shared" si="16"/>
        <v>NELSON ALFREDO VARGAS MORA</v>
      </c>
      <c r="BK161" s="73" t="s">
        <v>382</v>
      </c>
      <c r="BL161" s="73" t="str">
        <v>COM INV FIS EMP ETI SST CUL DER</v>
      </c>
    </row>
    <row r="162" spans="1:64" x14ac:dyDescent="0.25">
      <c r="A162" s="70">
        <v>3185933</v>
      </c>
      <c r="B162" s="71" t="s">
        <v>245</v>
      </c>
      <c r="C162" s="71">
        <v>61</v>
      </c>
      <c r="D162" s="72" t="s">
        <v>101</v>
      </c>
      <c r="E162" s="73" t="s">
        <v>88</v>
      </c>
      <c r="F162" s="74">
        <f t="shared" si="11"/>
        <v>46386</v>
      </c>
      <c r="G162" s="73" t="s">
        <v>120</v>
      </c>
      <c r="H162" s="73"/>
      <c r="K162" s="71" t="s">
        <v>346</v>
      </c>
      <c r="M162" s="70" t="s">
        <v>384</v>
      </c>
      <c r="O162" s="71" t="str">
        <f>VLOOKUP(A162,Hoja4!$A$2:$B$247,2,FALSE)</f>
        <v>LUIS GABRIEL GRANADOS YEPES              </v>
      </c>
      <c r="P162" s="71" t="s">
        <v>300</v>
      </c>
      <c r="Q162" s="73" t="s">
        <v>297</v>
      </c>
      <c r="U162" s="75"/>
      <c r="W162" s="75"/>
      <c r="Y162" s="75"/>
      <c r="AC162" s="75"/>
      <c r="AG162" s="71" t="s">
        <v>208</v>
      </c>
      <c r="AH162" s="76" t="s">
        <v>239</v>
      </c>
      <c r="AK162" s="71" t="s">
        <v>254</v>
      </c>
      <c r="AL162" s="75" t="s">
        <v>255</v>
      </c>
      <c r="AM162" s="71"/>
      <c r="AN162" s="71"/>
      <c r="AO162" s="71" t="s">
        <v>196</v>
      </c>
      <c r="AP162" s="71" t="s">
        <v>197</v>
      </c>
      <c r="AQ162" s="71"/>
      <c r="AS162" s="71" t="s">
        <v>198</v>
      </c>
      <c r="AT162" s="75" t="s">
        <v>253</v>
      </c>
      <c r="AV162" s="75" t="s">
        <v>218</v>
      </c>
      <c r="AW162" s="75" t="s">
        <v>200</v>
      </c>
      <c r="AX162" s="75" t="str">
        <f t="shared" si="15"/>
        <v>ELKIN DURAN MANCIPE</v>
      </c>
      <c r="BA162" s="75" t="s">
        <v>204</v>
      </c>
      <c r="BB162" s="75" t="str">
        <f t="shared" si="16"/>
        <v>IVAN DARIO RODRIGUEZ BUSTAMANTE</v>
      </c>
      <c r="BE162" s="75" t="s">
        <v>209</v>
      </c>
      <c r="BF162" s="75" t="s">
        <v>228</v>
      </c>
      <c r="BK162" s="73" t="s">
        <v>382</v>
      </c>
      <c r="BL162" s="73" t="str">
        <v>COM INV FIS ETI SST CUL DER</v>
      </c>
    </row>
    <row r="163" spans="1:64" x14ac:dyDescent="0.25">
      <c r="A163" s="70">
        <v>3185934</v>
      </c>
      <c r="B163" s="71" t="s">
        <v>245</v>
      </c>
      <c r="C163" s="71">
        <v>47</v>
      </c>
      <c r="D163" s="72" t="s">
        <v>101</v>
      </c>
      <c r="E163" s="73" t="s">
        <v>88</v>
      </c>
      <c r="F163" s="74">
        <f t="shared" si="11"/>
        <v>46386</v>
      </c>
      <c r="G163" s="73" t="s">
        <v>120</v>
      </c>
      <c r="H163" s="73"/>
      <c r="K163" s="71" t="s">
        <v>346</v>
      </c>
      <c r="M163" s="70" t="s">
        <v>384</v>
      </c>
      <c r="O163" s="71" t="str">
        <f>VLOOKUP(A163,Hoja4!$A$2:$B$247,2,FALSE)</f>
        <v>LUIS GABRIEL GRANADOS YEPES              </v>
      </c>
      <c r="P163" s="71" t="s">
        <v>300</v>
      </c>
      <c r="Q163" s="73" t="s">
        <v>297</v>
      </c>
      <c r="U163" s="75"/>
      <c r="W163" s="75"/>
      <c r="Y163" s="75"/>
      <c r="AC163" s="75"/>
      <c r="AG163" s="71" t="s">
        <v>208</v>
      </c>
      <c r="AH163" s="76" t="s">
        <v>278</v>
      </c>
      <c r="AK163" s="71" t="s">
        <v>254</v>
      </c>
      <c r="AL163" s="75" t="s">
        <v>255</v>
      </c>
      <c r="AM163" s="71"/>
      <c r="AN163" s="71"/>
      <c r="AO163" s="71" t="s">
        <v>196</v>
      </c>
      <c r="AP163" s="71" t="s">
        <v>197</v>
      </c>
      <c r="AQ163" s="71"/>
      <c r="AS163" s="71" t="s">
        <v>198</v>
      </c>
      <c r="AT163" s="75" t="s">
        <v>225</v>
      </c>
      <c r="AV163" s="75" t="s">
        <v>218</v>
      </c>
      <c r="AW163" s="75" t="s">
        <v>200</v>
      </c>
      <c r="AX163" s="75" t="str">
        <f t="shared" si="15"/>
        <v>WILDER JULIAN ARIAS HERNANDEZ</v>
      </c>
      <c r="BA163" s="75" t="s">
        <v>204</v>
      </c>
      <c r="BB163" s="75" t="str">
        <f t="shared" si="16"/>
        <v>OLGA STELLA PARDO SARAY</v>
      </c>
      <c r="BE163" s="75" t="s">
        <v>209</v>
      </c>
      <c r="BF163" s="75" t="s">
        <v>228</v>
      </c>
      <c r="BK163" s="73" t="s">
        <v>382</v>
      </c>
      <c r="BL163" s="73" t="str">
        <v>COM INV FIS ETI SST CUL DER</v>
      </c>
    </row>
    <row r="164" spans="1:64" x14ac:dyDescent="0.25">
      <c r="A164" s="70">
        <v>3185935</v>
      </c>
      <c r="B164" s="71" t="s">
        <v>245</v>
      </c>
      <c r="C164" s="71">
        <v>52</v>
      </c>
      <c r="D164" s="72" t="s">
        <v>101</v>
      </c>
      <c r="E164" s="73" t="s">
        <v>88</v>
      </c>
      <c r="F164" s="74">
        <f t="shared" si="11"/>
        <v>46386</v>
      </c>
      <c r="G164" s="73" t="s">
        <v>120</v>
      </c>
      <c r="H164" s="73"/>
      <c r="K164" s="71" t="s">
        <v>346</v>
      </c>
      <c r="M164" s="70" t="s">
        <v>384</v>
      </c>
      <c r="O164" s="71" t="str">
        <f>VLOOKUP(A164,Hoja4!$A$2:$B$247,2,FALSE)</f>
        <v>LUIS GABRIEL GRANADOS YEPES              </v>
      </c>
      <c r="P164" s="71" t="s">
        <v>300</v>
      </c>
      <c r="Q164" s="73" t="s">
        <v>297</v>
      </c>
      <c r="U164" s="75"/>
      <c r="W164" s="75"/>
      <c r="Y164" s="75"/>
      <c r="AC164" s="75"/>
      <c r="AG164" s="71" t="s">
        <v>208</v>
      </c>
      <c r="AH164" s="76" t="s">
        <v>235</v>
      </c>
      <c r="AK164" s="71" t="s">
        <v>254</v>
      </c>
      <c r="AL164" s="75" t="s">
        <v>255</v>
      </c>
      <c r="AM164" s="71"/>
      <c r="AN164" s="71"/>
      <c r="AO164" s="71" t="s">
        <v>196</v>
      </c>
      <c r="AP164" s="71" t="s">
        <v>219</v>
      </c>
      <c r="AQ164" s="71"/>
      <c r="AS164" s="71" t="s">
        <v>198</v>
      </c>
      <c r="AT164" s="75" t="s">
        <v>253</v>
      </c>
      <c r="AV164" s="75" t="s">
        <v>218</v>
      </c>
      <c r="AW164" s="75" t="s">
        <v>200</v>
      </c>
      <c r="AX164" s="75" t="str">
        <f t="shared" si="15"/>
        <v>JULIANA HERNANDEZ BARRERA</v>
      </c>
      <c r="BA164" s="75" t="s">
        <v>204</v>
      </c>
      <c r="BB164" s="75" t="str">
        <f t="shared" si="16"/>
        <v>OLGA STELLA PARDO SARAY</v>
      </c>
      <c r="BK164" s="73" t="s">
        <v>382</v>
      </c>
      <c r="BL164" s="73" t="str">
        <v>COM INV FIS EMP ETI SST CUL DER</v>
      </c>
    </row>
    <row r="165" spans="1:64" x14ac:dyDescent="0.25">
      <c r="A165" s="70">
        <v>3186008</v>
      </c>
      <c r="B165" s="71" t="s">
        <v>245</v>
      </c>
      <c r="C165" s="71">
        <v>60</v>
      </c>
      <c r="D165" s="72" t="s">
        <v>99</v>
      </c>
      <c r="E165" s="73" t="s">
        <v>88</v>
      </c>
      <c r="F165" s="74">
        <f t="shared" si="11"/>
        <v>46386</v>
      </c>
      <c r="G165" s="73" t="s">
        <v>120</v>
      </c>
      <c r="H165" s="73"/>
      <c r="K165" s="71" t="s">
        <v>385</v>
      </c>
      <c r="M165" s="70" t="s">
        <v>380</v>
      </c>
      <c r="O165" s="71" t="str">
        <f>VLOOKUP(A165,Hoja4!$A$2:$B$247,2,FALSE)</f>
        <v>JOHN JAIRO LEON MEZA              </v>
      </c>
      <c r="P165" s="71" t="s">
        <v>300</v>
      </c>
      <c r="Q165" s="73" t="s">
        <v>263</v>
      </c>
      <c r="U165" s="75"/>
      <c r="W165" s="75"/>
      <c r="Y165" s="75"/>
      <c r="AC165" s="75"/>
      <c r="AG165" s="71" t="s">
        <v>198</v>
      </c>
      <c r="AH165" s="76" t="s">
        <v>253</v>
      </c>
      <c r="AK165" s="71" t="s">
        <v>209</v>
      </c>
      <c r="AL165" s="75" t="s">
        <v>236</v>
      </c>
      <c r="AM165" s="71"/>
      <c r="AN165" s="71"/>
      <c r="AO165" s="71" t="s">
        <v>200</v>
      </c>
      <c r="AP165" s="71" t="s">
        <v>201</v>
      </c>
      <c r="AQ165" s="71"/>
      <c r="AS165" s="71" t="s">
        <v>196</v>
      </c>
      <c r="AT165" s="75" t="s">
        <v>244</v>
      </c>
      <c r="AV165" s="75" t="s">
        <v>218</v>
      </c>
      <c r="AW165" s="75" t="s">
        <v>206</v>
      </c>
      <c r="AX165" s="75" t="str">
        <f t="shared" si="15"/>
        <v>MARINELLA DIAZ ACOSTA</v>
      </c>
      <c r="BA165" s="75" t="s">
        <v>208</v>
      </c>
      <c r="BB165" s="75" t="str">
        <f t="shared" si="16"/>
        <v>LAURA STHEPHANIA SANCHEZ PABON</v>
      </c>
      <c r="BE165" s="75" t="s">
        <v>204</v>
      </c>
      <c r="BF165" s="75" t="s">
        <v>221</v>
      </c>
      <c r="BK165" s="73" t="s">
        <v>382</v>
      </c>
      <c r="BL165" s="73" t="str">
        <v>COM INV FIS EMP SST CUL DER</v>
      </c>
    </row>
    <row r="166" spans="1:64" x14ac:dyDescent="0.25">
      <c r="A166" s="70">
        <v>3186630</v>
      </c>
      <c r="B166" s="71" t="s">
        <v>245</v>
      </c>
      <c r="C166" s="71">
        <v>59</v>
      </c>
      <c r="D166" s="72" t="s">
        <v>271</v>
      </c>
      <c r="E166" s="73" t="s">
        <v>88</v>
      </c>
      <c r="F166" s="74">
        <f t="shared" si="11"/>
        <v>46386</v>
      </c>
      <c r="G166" s="73" t="s">
        <v>120</v>
      </c>
      <c r="H166" s="73"/>
      <c r="K166" s="71" t="s">
        <v>386</v>
      </c>
      <c r="M166" s="70" t="s">
        <v>324</v>
      </c>
      <c r="N166" s="71" t="s">
        <v>237</v>
      </c>
      <c r="O166" s="71" t="str">
        <f>VLOOKUP(A166,Hoja4!$A$2:$B$247,2,FALSE)</f>
        <v>JORGE ENRIQUE PORTELA CLEVES           </v>
      </c>
      <c r="P166" s="71" t="s">
        <v>238</v>
      </c>
      <c r="Q166" s="73" t="s">
        <v>274</v>
      </c>
      <c r="U166" s="75"/>
      <c r="W166" s="75"/>
      <c r="Y166" s="75"/>
      <c r="AC166" s="75"/>
      <c r="AG166" s="71" t="s">
        <v>200</v>
      </c>
      <c r="AH166" s="76" t="s">
        <v>214</v>
      </c>
      <c r="AK166" s="71" t="s">
        <v>198</v>
      </c>
      <c r="AL166" s="75" t="s">
        <v>253</v>
      </c>
      <c r="AM166" s="71"/>
      <c r="AN166" s="71"/>
      <c r="AO166" s="71" t="s">
        <v>196</v>
      </c>
      <c r="AP166" s="71" t="s">
        <v>219</v>
      </c>
      <c r="AQ166" s="71"/>
      <c r="AS166" s="71" t="s">
        <v>209</v>
      </c>
      <c r="AT166" s="75" t="s">
        <v>236</v>
      </c>
      <c r="AV166" s="75" t="s">
        <v>218</v>
      </c>
      <c r="AW166" s="75" t="s">
        <v>204</v>
      </c>
      <c r="AX166" s="75" t="str">
        <f t="shared" si="15"/>
        <v>IVAN DARIO RODRIGUEZ BUSTAMANTE</v>
      </c>
      <c r="BE166" s="75" t="s">
        <v>208</v>
      </c>
      <c r="BF166" s="75" t="s">
        <v>278</v>
      </c>
      <c r="BK166" s="73" t="s">
        <v>382</v>
      </c>
      <c r="BL166" s="73" t="str">
        <v>COM INV FIS EMP ETI SST CUL</v>
      </c>
    </row>
    <row r="167" spans="1:64" x14ac:dyDescent="0.25">
      <c r="A167" s="70">
        <v>3186631</v>
      </c>
      <c r="B167" s="71" t="s">
        <v>245</v>
      </c>
      <c r="C167" s="71">
        <v>63</v>
      </c>
      <c r="D167" s="72" t="s">
        <v>271</v>
      </c>
      <c r="E167" s="73" t="s">
        <v>88</v>
      </c>
      <c r="F167" s="74">
        <f t="shared" si="11"/>
        <v>46386</v>
      </c>
      <c r="G167" s="73" t="s">
        <v>120</v>
      </c>
      <c r="H167" s="73"/>
      <c r="K167" s="71" t="s">
        <v>324</v>
      </c>
      <c r="M167" s="70" t="s">
        <v>324</v>
      </c>
      <c r="O167" s="71" t="str">
        <f>VLOOKUP(A167,Hoja4!$A$2:$B$247,2,FALSE)</f>
        <v>JORGE ENRIQUE PORTELA CLEVES           </v>
      </c>
      <c r="P167" s="71" t="s">
        <v>231</v>
      </c>
      <c r="Q167" s="73" t="s">
        <v>274</v>
      </c>
      <c r="U167" s="75"/>
      <c r="W167" s="75"/>
      <c r="Y167" s="75"/>
      <c r="AC167" s="75"/>
      <c r="AG167" s="71" t="s">
        <v>200</v>
      </c>
      <c r="AH167" s="76" t="s">
        <v>214</v>
      </c>
      <c r="AK167" s="71" t="s">
        <v>198</v>
      </c>
      <c r="AL167" s="75" t="s">
        <v>199</v>
      </c>
      <c r="AM167" s="71"/>
      <c r="AN167" s="71"/>
      <c r="AO167" s="71" t="s">
        <v>196</v>
      </c>
      <c r="AP167" s="71" t="s">
        <v>219</v>
      </c>
      <c r="AQ167" s="71"/>
      <c r="AS167" s="71" t="s">
        <v>209</v>
      </c>
      <c r="AT167" s="75" t="s">
        <v>236</v>
      </c>
      <c r="AV167" s="75" t="s">
        <v>218</v>
      </c>
      <c r="AW167" s="75" t="s">
        <v>204</v>
      </c>
      <c r="AX167" s="75" t="str">
        <f t="shared" si="15"/>
        <v>OLGA STELLA PARDO SARAY</v>
      </c>
      <c r="BE167" s="75" t="s">
        <v>208</v>
      </c>
      <c r="BF167" s="75" t="s">
        <v>278</v>
      </c>
      <c r="BK167" s="73" t="s">
        <v>382</v>
      </c>
      <c r="BL167" s="73" t="str">
        <v>COM INV FIS EMP ETI SST CUL</v>
      </c>
    </row>
    <row r="168" spans="1:64" x14ac:dyDescent="0.25">
      <c r="A168" s="70">
        <v>3235889</v>
      </c>
      <c r="B168" s="71" t="s">
        <v>245</v>
      </c>
      <c r="C168" s="71">
        <v>57</v>
      </c>
      <c r="D168" s="72" t="s">
        <v>271</v>
      </c>
      <c r="E168" s="73" t="s">
        <v>102</v>
      </c>
      <c r="F168" s="74">
        <f t="shared" si="11"/>
        <v>46448</v>
      </c>
      <c r="G168" s="73" t="s">
        <v>121</v>
      </c>
      <c r="H168" s="73"/>
      <c r="K168" s="71" t="s">
        <v>387</v>
      </c>
      <c r="M168" s="70" t="s">
        <v>387</v>
      </c>
      <c r="O168" s="71" t="str">
        <f>VLOOKUP(A168,Hoja4!$A$2:$B$247,2,FALSE)</f>
        <v>FERNANDO FORERO GOMEZ</v>
      </c>
      <c r="P168" s="71" t="s">
        <v>192</v>
      </c>
      <c r="Q168" s="73" t="s">
        <v>274</v>
      </c>
      <c r="U168" s="75"/>
      <c r="W168" s="75"/>
      <c r="Y168" s="75"/>
      <c r="AC168" s="75"/>
      <c r="AH168" s="76"/>
      <c r="AK168" s="71"/>
      <c r="AM168" s="71"/>
      <c r="AN168" s="71"/>
      <c r="AO168" s="71" t="s">
        <v>198</v>
      </c>
      <c r="AP168" s="71" t="s">
        <v>299</v>
      </c>
      <c r="AQ168" s="71"/>
      <c r="AS168" s="71" t="s">
        <v>200</v>
      </c>
      <c r="AT168" s="75" t="s">
        <v>214</v>
      </c>
      <c r="AV168" s="75" t="s">
        <v>218</v>
      </c>
      <c r="AW168" s="75" t="s">
        <v>204</v>
      </c>
      <c r="AX168" s="75" t="str">
        <f t="shared" si="15"/>
        <v>NELSON ALFREDO VARGAS MORA</v>
      </c>
      <c r="BA168" s="75" t="s">
        <v>202</v>
      </c>
      <c r="BB168" s="75" t="str">
        <f t="shared" ref="BB168:BB182" si="17">VLOOKUP(A168,_p8_2025,2,FALSE)</f>
        <v>CHRISTIAN CAMILO RODRIGUEZ SALAS</v>
      </c>
      <c r="BE168" s="75" t="s">
        <v>208</v>
      </c>
      <c r="BF168" s="75" t="s">
        <v>278</v>
      </c>
      <c r="BK168" s="73" t="s">
        <v>382</v>
      </c>
      <c r="BL168" s="73" t="str">
        <v>COM INV FIS EMP ETI SST CUL</v>
      </c>
    </row>
    <row r="169" spans="1:64" x14ac:dyDescent="0.25">
      <c r="A169" s="70">
        <v>3235890</v>
      </c>
      <c r="B169" s="71" t="s">
        <v>245</v>
      </c>
      <c r="C169" s="71">
        <v>59</v>
      </c>
      <c r="D169" s="72" t="s">
        <v>271</v>
      </c>
      <c r="E169" s="73" t="s">
        <v>102</v>
      </c>
      <c r="F169" s="74">
        <f t="shared" si="11"/>
        <v>46448</v>
      </c>
      <c r="G169" s="73" t="s">
        <v>121</v>
      </c>
      <c r="H169" s="73"/>
      <c r="K169" s="71" t="s">
        <v>387</v>
      </c>
      <c r="M169" s="70" t="s">
        <v>387</v>
      </c>
      <c r="O169" s="71" t="str">
        <f>VLOOKUP(A169,Hoja4!$A$2:$B$247,2,FALSE)</f>
        <v>FERNANDO FORERO GOMEZ</v>
      </c>
      <c r="P169" s="71" t="s">
        <v>192</v>
      </c>
      <c r="Q169" s="73" t="s">
        <v>274</v>
      </c>
      <c r="U169" s="75"/>
      <c r="W169" s="75"/>
      <c r="Y169" s="75"/>
      <c r="AC169" s="75"/>
      <c r="AH169" s="76"/>
      <c r="AK169" s="71"/>
      <c r="AM169" s="71"/>
      <c r="AN169" s="71"/>
      <c r="AO169" s="71" t="s">
        <v>198</v>
      </c>
      <c r="AP169" s="71" t="s">
        <v>225</v>
      </c>
      <c r="AQ169" s="71"/>
      <c r="AS169" s="71" t="s">
        <v>200</v>
      </c>
      <c r="AT169" s="75" t="s">
        <v>214</v>
      </c>
      <c r="AV169" s="75" t="s">
        <v>218</v>
      </c>
      <c r="AW169" s="75" t="s">
        <v>204</v>
      </c>
      <c r="AX169" s="75" t="str">
        <f t="shared" si="15"/>
        <v>IVAN DARIO RODRIGUEZ BUSTAMANTE</v>
      </c>
      <c r="BA169" s="75" t="s">
        <v>202</v>
      </c>
      <c r="BB169" s="75" t="str">
        <f t="shared" si="17"/>
        <v>MELISSA ANDREA LAITON GARNICA</v>
      </c>
      <c r="BE169" s="75" t="s">
        <v>208</v>
      </c>
      <c r="BF169" s="75" t="s">
        <v>278</v>
      </c>
      <c r="BK169" s="73" t="s">
        <v>382</v>
      </c>
      <c r="BL169" s="73" t="str">
        <v>COM INV FIS EMP ETI SST CUL</v>
      </c>
    </row>
    <row r="170" spans="1:64" x14ac:dyDescent="0.25">
      <c r="A170" s="70">
        <v>3235891</v>
      </c>
      <c r="B170" s="71" t="s">
        <v>245</v>
      </c>
      <c r="C170" s="71">
        <v>59</v>
      </c>
      <c r="D170" s="72" t="s">
        <v>271</v>
      </c>
      <c r="E170" s="73" t="s">
        <v>102</v>
      </c>
      <c r="F170" s="74">
        <f t="shared" si="11"/>
        <v>46448</v>
      </c>
      <c r="G170" s="73" t="s">
        <v>121</v>
      </c>
      <c r="H170" s="73"/>
      <c r="K170" s="71" t="s">
        <v>387</v>
      </c>
      <c r="M170" s="70" t="s">
        <v>387</v>
      </c>
      <c r="O170" s="71" t="str">
        <f>VLOOKUP(A170,Hoja4!$A$2:$B$247,2,FALSE)</f>
        <v>FERNANDO FORERO GOMEZ</v>
      </c>
      <c r="P170" s="71" t="s">
        <v>192</v>
      </c>
      <c r="Q170" s="73" t="s">
        <v>274</v>
      </c>
      <c r="U170" s="75"/>
      <c r="W170" s="75"/>
      <c r="Y170" s="75"/>
      <c r="AC170" s="75"/>
      <c r="AH170" s="76"/>
      <c r="AK170" s="71"/>
      <c r="AM170" s="71"/>
      <c r="AN170" s="71"/>
      <c r="AO170" s="71" t="s">
        <v>198</v>
      </c>
      <c r="AP170" s="71" t="s">
        <v>199</v>
      </c>
      <c r="AQ170" s="71"/>
      <c r="AS170" s="71" t="s">
        <v>200</v>
      </c>
      <c r="AT170" s="75" t="s">
        <v>214</v>
      </c>
      <c r="AV170" s="75" t="s">
        <v>218</v>
      </c>
      <c r="AW170" s="75" t="s">
        <v>204</v>
      </c>
      <c r="AX170" s="75" t="str">
        <f t="shared" si="15"/>
        <v>OLGA STELLA PARDO SARAY</v>
      </c>
      <c r="BA170" s="75" t="s">
        <v>202</v>
      </c>
      <c r="BB170" s="75" t="str">
        <f t="shared" si="17"/>
        <v>MELISSA ANDREA LAITON GARNICA</v>
      </c>
      <c r="BE170" s="75" t="s">
        <v>196</v>
      </c>
      <c r="BF170" s="75" t="s">
        <v>197</v>
      </c>
      <c r="BK170" s="73" t="s">
        <v>388</v>
      </c>
      <c r="BL170" s="73" t="str">
        <v>MAT INV FIS EMP ETI SST CUL DER</v>
      </c>
    </row>
    <row r="171" spans="1:64" x14ac:dyDescent="0.25">
      <c r="A171" s="70">
        <v>3235892</v>
      </c>
      <c r="B171" s="71" t="s">
        <v>245</v>
      </c>
      <c r="C171" s="71">
        <v>56</v>
      </c>
      <c r="D171" s="72" t="s">
        <v>271</v>
      </c>
      <c r="E171" s="73" t="s">
        <v>102</v>
      </c>
      <c r="F171" s="74">
        <f t="shared" si="11"/>
        <v>46448</v>
      </c>
      <c r="G171" s="73" t="s">
        <v>121</v>
      </c>
      <c r="H171" s="73"/>
      <c r="K171" s="71" t="s">
        <v>387</v>
      </c>
      <c r="M171" s="70" t="s">
        <v>387</v>
      </c>
      <c r="O171" s="71" t="str">
        <f>VLOOKUP(A171,Hoja4!$A$2:$B$247,2,FALSE)</f>
        <v>FERNANDO FORERO GOMEZ</v>
      </c>
      <c r="P171" s="71" t="s">
        <v>192</v>
      </c>
      <c r="Q171" s="73" t="s">
        <v>274</v>
      </c>
      <c r="U171" s="75"/>
      <c r="W171" s="75"/>
      <c r="Y171" s="75"/>
      <c r="AC171" s="75"/>
      <c r="AH171" s="76"/>
      <c r="AK171" s="71"/>
      <c r="AM171" s="71"/>
      <c r="AN171" s="71"/>
      <c r="AO171" s="71" t="s">
        <v>198</v>
      </c>
      <c r="AP171" s="71" t="s">
        <v>299</v>
      </c>
      <c r="AQ171" s="71"/>
      <c r="AS171" s="71" t="s">
        <v>200</v>
      </c>
      <c r="AT171" s="75" t="s">
        <v>220</v>
      </c>
      <c r="AV171" s="75" t="s">
        <v>218</v>
      </c>
      <c r="AW171" s="75" t="s">
        <v>209</v>
      </c>
      <c r="AX171" s="75" t="str">
        <f t="shared" si="15"/>
        <v>ALBERTO ANTONIO TAPIA TORRES</v>
      </c>
      <c r="BA171" s="75" t="s">
        <v>202</v>
      </c>
      <c r="BB171" s="75" t="str">
        <f t="shared" si="17"/>
        <v>MELISSA ANDREA LAITON GARNICA</v>
      </c>
      <c r="BE171" s="75" t="s">
        <v>204</v>
      </c>
      <c r="BF171" s="75" t="s">
        <v>217</v>
      </c>
      <c r="BK171" s="71" t="s">
        <v>388</v>
      </c>
      <c r="BL171" s="71" t="str">
        <v>MAT COM INV FIS EMP SST CUL DER</v>
      </c>
    </row>
    <row r="172" spans="1:64" x14ac:dyDescent="0.25">
      <c r="A172" s="70">
        <v>3235893</v>
      </c>
      <c r="B172" s="71" t="s">
        <v>245</v>
      </c>
      <c r="C172" s="71">
        <v>54</v>
      </c>
      <c r="D172" s="72" t="s">
        <v>271</v>
      </c>
      <c r="E172" s="73" t="s">
        <v>102</v>
      </c>
      <c r="F172" s="74">
        <f t="shared" si="11"/>
        <v>46448</v>
      </c>
      <c r="G172" s="73" t="s">
        <v>121</v>
      </c>
      <c r="H172" s="73"/>
      <c r="K172" s="71" t="s">
        <v>389</v>
      </c>
      <c r="M172" s="70" t="s">
        <v>389</v>
      </c>
      <c r="O172" s="71" t="str">
        <f>VLOOKUP(A172,Hoja4!$A$2:$B$247,2,FALSE)</f>
        <v>EDICSON NIÑO AREVALO</v>
      </c>
      <c r="P172" s="71" t="s">
        <v>329</v>
      </c>
      <c r="Q172" s="73" t="s">
        <v>274</v>
      </c>
      <c r="U172" s="75"/>
      <c r="W172" s="75"/>
      <c r="Y172" s="75"/>
      <c r="AC172" s="75"/>
      <c r="AH172" s="76"/>
      <c r="AK172" s="71"/>
      <c r="AM172" s="71"/>
      <c r="AN172" s="71"/>
      <c r="AO172" s="71" t="s">
        <v>198</v>
      </c>
      <c r="AP172" s="71" t="s">
        <v>253</v>
      </c>
      <c r="AQ172" s="71"/>
      <c r="AS172" s="71" t="s">
        <v>200</v>
      </c>
      <c r="AT172" s="75" t="s">
        <v>214</v>
      </c>
      <c r="AV172" s="75" t="s">
        <v>218</v>
      </c>
      <c r="AW172" s="75" t="s">
        <v>209</v>
      </c>
      <c r="AX172" s="75" t="str">
        <f t="shared" si="15"/>
        <v>ESTEFANIA SANDOVAL CRUZ</v>
      </c>
      <c r="BA172" s="75" t="s">
        <v>202</v>
      </c>
      <c r="BB172" s="75" t="str">
        <f t="shared" si="17"/>
        <v>CHRISTIAN CAMILO RODRIGUEZ SALAS</v>
      </c>
      <c r="BE172" s="75" t="s">
        <v>204</v>
      </c>
      <c r="BF172" s="75" t="s">
        <v>217</v>
      </c>
      <c r="BK172" s="71" t="s">
        <v>388</v>
      </c>
      <c r="BL172" s="71" t="str">
        <v>MAT COM INV FIS EMP SST CUL DER</v>
      </c>
    </row>
    <row r="173" spans="1:64" x14ac:dyDescent="0.25">
      <c r="A173" s="70">
        <v>3235894</v>
      </c>
      <c r="B173" s="71" t="s">
        <v>245</v>
      </c>
      <c r="C173" s="71">
        <v>59</v>
      </c>
      <c r="D173" s="72" t="s">
        <v>271</v>
      </c>
      <c r="E173" s="73" t="s">
        <v>102</v>
      </c>
      <c r="F173" s="74">
        <f t="shared" si="11"/>
        <v>46448</v>
      </c>
      <c r="G173" s="73" t="s">
        <v>121</v>
      </c>
      <c r="H173" s="73"/>
      <c r="K173" s="71" t="s">
        <v>389</v>
      </c>
      <c r="M173" s="70" t="s">
        <v>389</v>
      </c>
      <c r="O173" s="71" t="str">
        <f>VLOOKUP(A173,Hoja4!$A$2:$B$247,2,FALSE)</f>
        <v>EDICSON NIÑO AREVALO</v>
      </c>
      <c r="P173" s="71" t="s">
        <v>329</v>
      </c>
      <c r="Q173" s="73" t="s">
        <v>274</v>
      </c>
      <c r="U173" s="75"/>
      <c r="W173" s="75"/>
      <c r="Y173" s="75"/>
      <c r="AC173" s="75"/>
      <c r="AH173" s="76"/>
      <c r="AK173" s="71"/>
      <c r="AM173" s="71"/>
      <c r="AN173" s="71"/>
      <c r="AO173" s="71" t="s">
        <v>198</v>
      </c>
      <c r="AP173" s="71" t="s">
        <v>225</v>
      </c>
      <c r="AQ173" s="71"/>
      <c r="AS173" s="71" t="s">
        <v>200</v>
      </c>
      <c r="AT173" s="75" t="s">
        <v>201</v>
      </c>
      <c r="AV173" s="75" t="s">
        <v>218</v>
      </c>
      <c r="AW173" s="75" t="s">
        <v>209</v>
      </c>
      <c r="AX173" s="75" t="str">
        <f t="shared" si="15"/>
        <v>ESTEFANIA SANDOVAL CRUZ</v>
      </c>
      <c r="BA173" s="75" t="s">
        <v>202</v>
      </c>
      <c r="BB173" s="75" t="str">
        <f t="shared" si="17"/>
        <v>CHRISTIAN CAMILO RODRIGUEZ SALAS</v>
      </c>
      <c r="BE173" s="75" t="s">
        <v>204</v>
      </c>
      <c r="BF173" s="75" t="s">
        <v>217</v>
      </c>
      <c r="BK173" s="71" t="s">
        <v>388</v>
      </c>
      <c r="BL173" s="71" t="str">
        <v>MAT COM INV FIS EMP SST CUL DER</v>
      </c>
    </row>
    <row r="174" spans="1:64" x14ac:dyDescent="0.25">
      <c r="A174" s="70">
        <v>3235895</v>
      </c>
      <c r="B174" s="71" t="s">
        <v>245</v>
      </c>
      <c r="C174" s="71">
        <v>59</v>
      </c>
      <c r="D174" s="72" t="s">
        <v>271</v>
      </c>
      <c r="E174" s="73" t="s">
        <v>102</v>
      </c>
      <c r="F174" s="74">
        <f t="shared" si="11"/>
        <v>46448</v>
      </c>
      <c r="G174" s="73" t="s">
        <v>121</v>
      </c>
      <c r="H174" s="73"/>
      <c r="K174" s="71" t="s">
        <v>389</v>
      </c>
      <c r="M174" s="70" t="s">
        <v>389</v>
      </c>
      <c r="O174" s="71" t="str">
        <f>VLOOKUP(A174,Hoja4!$A$2:$B$247,2,FALSE)</f>
        <v>EDICSON NIÑO AREVALO</v>
      </c>
      <c r="P174" s="71" t="s">
        <v>329</v>
      </c>
      <c r="Q174" s="73" t="s">
        <v>274</v>
      </c>
      <c r="U174" s="75"/>
      <c r="W174" s="75"/>
      <c r="Y174" s="75"/>
      <c r="AC174" s="75"/>
      <c r="AH174" s="76"/>
      <c r="AK174" s="71"/>
      <c r="AM174" s="71"/>
      <c r="AN174" s="71"/>
      <c r="AO174" s="71" t="s">
        <v>198</v>
      </c>
      <c r="AP174" s="71" t="s">
        <v>199</v>
      </c>
      <c r="AQ174" s="71"/>
      <c r="AS174" s="71" t="s">
        <v>200</v>
      </c>
      <c r="AT174" s="75" t="s">
        <v>220</v>
      </c>
      <c r="AV174" s="75" t="s">
        <v>218</v>
      </c>
      <c r="AW174" s="75" t="s">
        <v>209</v>
      </c>
      <c r="AX174" s="75" t="str">
        <f t="shared" si="15"/>
        <v>LUIS ARTURO BASTIDAS</v>
      </c>
      <c r="BA174" s="75" t="s">
        <v>202</v>
      </c>
      <c r="BB174" s="75" t="str">
        <f t="shared" si="17"/>
        <v>MELISSA ANDREA LAITON GARNICA</v>
      </c>
      <c r="BE174" s="75" t="s">
        <v>204</v>
      </c>
      <c r="BF174" s="75" t="s">
        <v>217</v>
      </c>
      <c r="BK174" s="71" t="s">
        <v>390</v>
      </c>
      <c r="BL174" s="71" t="str">
        <v>MAT COM TIC CUL SST INV EMP DER</v>
      </c>
    </row>
    <row r="175" spans="1:64" x14ac:dyDescent="0.25">
      <c r="A175" s="70">
        <v>3235896</v>
      </c>
      <c r="B175" s="71" t="s">
        <v>245</v>
      </c>
      <c r="C175" s="71">
        <v>57</v>
      </c>
      <c r="D175" s="72" t="s">
        <v>271</v>
      </c>
      <c r="E175" s="73" t="s">
        <v>102</v>
      </c>
      <c r="F175" s="74">
        <f t="shared" si="11"/>
        <v>46448</v>
      </c>
      <c r="G175" s="73" t="s">
        <v>121</v>
      </c>
      <c r="H175" s="73"/>
      <c r="K175" s="71" t="s">
        <v>389</v>
      </c>
      <c r="M175" s="70" t="s">
        <v>389</v>
      </c>
      <c r="O175" s="71" t="str">
        <f>VLOOKUP(A175,Hoja4!$A$2:$B$247,2,FALSE)</f>
        <v>EDICSON NIÑO AREVALO</v>
      </c>
      <c r="P175" s="71" t="s">
        <v>329</v>
      </c>
      <c r="Q175" s="73" t="s">
        <v>274</v>
      </c>
      <c r="U175" s="75"/>
      <c r="W175" s="75"/>
      <c r="Y175" s="75"/>
      <c r="AC175" s="75"/>
      <c r="AH175" s="76"/>
      <c r="AK175" s="71"/>
      <c r="AM175" s="71"/>
      <c r="AN175" s="71"/>
      <c r="AO175" s="71" t="s">
        <v>198</v>
      </c>
      <c r="AP175" s="71" t="s">
        <v>299</v>
      </c>
      <c r="AQ175" s="71"/>
      <c r="AS175" s="71" t="s">
        <v>200</v>
      </c>
      <c r="AT175" s="75" t="s">
        <v>201</v>
      </c>
      <c r="AV175" s="75" t="s">
        <v>218</v>
      </c>
      <c r="AW175" s="75" t="s">
        <v>209</v>
      </c>
      <c r="AX175" s="75" t="str">
        <f t="shared" si="15"/>
        <v>ALBERTO ANTONIO TAPIA TORRES</v>
      </c>
      <c r="BA175" s="75" t="s">
        <v>208</v>
      </c>
      <c r="BB175" s="75" t="str">
        <f t="shared" si="17"/>
        <v>HECTOR ANDRES CIPAMOCHA CENTENO</v>
      </c>
      <c r="BE175" s="75" t="s">
        <v>204</v>
      </c>
      <c r="BF175" s="75" t="s">
        <v>217</v>
      </c>
      <c r="BK175" s="71" t="s">
        <v>391</v>
      </c>
      <c r="BL175" s="71" t="str">
        <v>INV COM TIC MAT CIE DER SST EMP CUL</v>
      </c>
    </row>
    <row r="176" spans="1:64" x14ac:dyDescent="0.25">
      <c r="A176" s="70">
        <v>3235912</v>
      </c>
      <c r="B176" s="71" t="s">
        <v>245</v>
      </c>
      <c r="C176" s="71">
        <v>61</v>
      </c>
      <c r="D176" s="72" t="s">
        <v>392</v>
      </c>
      <c r="E176" s="73" t="s">
        <v>102</v>
      </c>
      <c r="F176" s="74">
        <f t="shared" si="11"/>
        <v>46448</v>
      </c>
      <c r="G176" s="73" t="s">
        <v>121</v>
      </c>
      <c r="H176" s="73"/>
      <c r="K176" s="71" t="s">
        <v>393</v>
      </c>
      <c r="M176" s="70" t="s">
        <v>393</v>
      </c>
      <c r="O176" s="71" t="str">
        <f>VLOOKUP(A176,Hoja4!$A$2:$B$247,2,FALSE)</f>
        <v xml:space="preserve">VICTOR QUINTERO VALENCIA    </v>
      </c>
      <c r="P176" s="71" t="s">
        <v>329</v>
      </c>
      <c r="Q176" s="73" t="s">
        <v>394</v>
      </c>
      <c r="U176" s="75"/>
      <c r="W176" s="75"/>
      <c r="Y176" s="75"/>
      <c r="AC176" s="75"/>
      <c r="AH176" s="76"/>
      <c r="AK176" s="71"/>
      <c r="AM176" s="71"/>
      <c r="AN176" s="71"/>
      <c r="AO176" s="71" t="s">
        <v>200</v>
      </c>
      <c r="AP176" s="71" t="s">
        <v>220</v>
      </c>
      <c r="AQ176" s="71"/>
      <c r="AS176" s="71" t="s">
        <v>242</v>
      </c>
      <c r="AT176" s="75" t="s">
        <v>243</v>
      </c>
      <c r="AV176" s="75" t="s">
        <v>218</v>
      </c>
      <c r="AW176" s="75" t="s">
        <v>198</v>
      </c>
      <c r="AX176" s="75" t="str">
        <f t="shared" si="15"/>
        <v>ERICK RUIZ NOREÑA</v>
      </c>
      <c r="BA176" s="75" t="s">
        <v>208</v>
      </c>
      <c r="BB176" s="75" t="str">
        <f t="shared" si="17"/>
        <v>LAURA STHEPHANIA SANCHEZ PABON</v>
      </c>
      <c r="BE176" s="75" t="s">
        <v>204</v>
      </c>
      <c r="BF176" s="75" t="s">
        <v>205</v>
      </c>
      <c r="BK176" s="71" t="s">
        <v>395</v>
      </c>
      <c r="BL176" s="71" t="str">
        <v>INV COM MAT CIE DER SST EMP CUL</v>
      </c>
    </row>
    <row r="177" spans="1:64" x14ac:dyDescent="0.25">
      <c r="A177" s="70">
        <v>3235913</v>
      </c>
      <c r="B177" s="71" t="s">
        <v>245</v>
      </c>
      <c r="C177" s="71">
        <v>69</v>
      </c>
      <c r="D177" s="72" t="s">
        <v>392</v>
      </c>
      <c r="E177" s="73" t="s">
        <v>102</v>
      </c>
      <c r="F177" s="74">
        <f t="shared" si="11"/>
        <v>46448</v>
      </c>
      <c r="G177" s="73" t="s">
        <v>121</v>
      </c>
      <c r="H177" s="73"/>
      <c r="K177" s="71" t="s">
        <v>393</v>
      </c>
      <c r="M177" s="70" t="s">
        <v>393</v>
      </c>
      <c r="O177" s="71" t="str">
        <f>VLOOKUP(A177,Hoja4!$A$2:$B$247,2,FALSE)</f>
        <v xml:space="preserve">VICTOR QUINTERO VALENCIA    </v>
      </c>
      <c r="P177" s="71" t="s">
        <v>300</v>
      </c>
      <c r="Q177" s="73" t="s">
        <v>394</v>
      </c>
      <c r="U177" s="75"/>
      <c r="W177" s="75"/>
      <c r="Y177" s="75"/>
      <c r="AC177" s="75"/>
      <c r="AH177" s="76"/>
      <c r="AK177" s="71"/>
      <c r="AM177" s="71"/>
      <c r="AN177" s="71"/>
      <c r="AO177" s="71" t="s">
        <v>200</v>
      </c>
      <c r="AP177" s="71" t="s">
        <v>201</v>
      </c>
      <c r="AQ177" s="71"/>
      <c r="AS177" s="71" t="s">
        <v>242</v>
      </c>
      <c r="AT177" s="75" t="s">
        <v>243</v>
      </c>
      <c r="AV177" s="75" t="s">
        <v>218</v>
      </c>
      <c r="AW177" s="75" t="s">
        <v>209</v>
      </c>
      <c r="AX177" s="75" t="str">
        <f t="shared" si="15"/>
        <v>ALBERTO ANTONIO TAPIA TORRES</v>
      </c>
      <c r="BA177" s="75" t="s">
        <v>208</v>
      </c>
      <c r="BB177" s="75" t="str">
        <f t="shared" si="17"/>
        <v>MARIA CAROLINA GOMEZ CALLE</v>
      </c>
      <c r="BE177" s="75" t="s">
        <v>204</v>
      </c>
      <c r="BF177" s="75" t="s">
        <v>205</v>
      </c>
      <c r="BK177" s="71" t="s">
        <v>391</v>
      </c>
      <c r="BL177" s="71" t="str">
        <v>INV COM TIC MAT CIE DER SST EMP CUL</v>
      </c>
    </row>
    <row r="178" spans="1:64" x14ac:dyDescent="0.25">
      <c r="A178" s="70">
        <v>3235914</v>
      </c>
      <c r="B178" s="71" t="s">
        <v>245</v>
      </c>
      <c r="C178" s="71">
        <v>60</v>
      </c>
      <c r="D178" s="72" t="s">
        <v>392</v>
      </c>
      <c r="E178" s="73" t="s">
        <v>102</v>
      </c>
      <c r="F178" s="74">
        <f t="shared" si="11"/>
        <v>46448</v>
      </c>
      <c r="G178" s="73" t="s">
        <v>121</v>
      </c>
      <c r="H178" s="73"/>
      <c r="K178" s="71" t="s">
        <v>393</v>
      </c>
      <c r="M178" s="70" t="s">
        <v>393</v>
      </c>
      <c r="O178" s="71" t="str">
        <f>VLOOKUP(A178,Hoja4!$A$2:$B$247,2,FALSE)</f>
        <v xml:space="preserve">VICTOR QUINTERO VALENCIA    </v>
      </c>
      <c r="P178" s="71" t="s">
        <v>300</v>
      </c>
      <c r="Q178" s="73" t="s">
        <v>394</v>
      </c>
      <c r="U178" s="75"/>
      <c r="W178" s="75"/>
      <c r="Y178" s="75"/>
      <c r="AC178" s="75"/>
      <c r="AH178" s="76"/>
      <c r="AK178" s="71"/>
      <c r="AM178" s="71"/>
      <c r="AN178" s="71"/>
      <c r="AO178" s="71" t="s">
        <v>200</v>
      </c>
      <c r="AP178" s="71" t="s">
        <v>214</v>
      </c>
      <c r="AQ178" s="71"/>
      <c r="AS178" s="71" t="s">
        <v>242</v>
      </c>
      <c r="AT178" s="75" t="s">
        <v>243</v>
      </c>
      <c r="AV178" s="75" t="s">
        <v>218</v>
      </c>
      <c r="AW178" s="75" t="s">
        <v>209</v>
      </c>
      <c r="AX178" s="75" t="str">
        <f t="shared" si="15"/>
        <v>LUIS ARTURO BASTIDAS</v>
      </c>
      <c r="BA178" s="75" t="s">
        <v>208</v>
      </c>
      <c r="BB178" s="75" t="str">
        <f t="shared" si="17"/>
        <v>MARIA CAROLINA GOMEZ CALLE</v>
      </c>
      <c r="BE178" s="75" t="s">
        <v>204</v>
      </c>
      <c r="BF178" s="75" t="s">
        <v>221</v>
      </c>
      <c r="BK178" s="71" t="s">
        <v>391</v>
      </c>
      <c r="BL178" s="71" t="str">
        <v>INV COM TIC MAT CIE DER SST EMP CUL</v>
      </c>
    </row>
    <row r="179" spans="1:64" x14ac:dyDescent="0.25">
      <c r="A179" s="70">
        <v>3235974</v>
      </c>
      <c r="B179" s="71" t="s">
        <v>245</v>
      </c>
      <c r="C179" s="71">
        <v>73</v>
      </c>
      <c r="D179" s="72" t="s">
        <v>101</v>
      </c>
      <c r="E179" s="73" t="s">
        <v>102</v>
      </c>
      <c r="F179" s="74">
        <f t="shared" si="11"/>
        <v>46448</v>
      </c>
      <c r="G179" s="73" t="s">
        <v>121</v>
      </c>
      <c r="H179" s="73"/>
      <c r="K179" s="71" t="s">
        <v>396</v>
      </c>
      <c r="M179" s="70" t="s">
        <v>396</v>
      </c>
      <c r="O179" s="71" t="str">
        <f>VLOOKUP(A179,Hoja4!$A$2:$B$247,2,FALSE)</f>
        <v>CLAUDIA ROCIO VACCA GARCIA</v>
      </c>
      <c r="P179" s="71" t="s">
        <v>300</v>
      </c>
      <c r="Q179" s="73" t="s">
        <v>397</v>
      </c>
      <c r="U179" s="75"/>
      <c r="W179" s="75"/>
      <c r="Y179" s="75"/>
      <c r="AC179" s="75"/>
      <c r="AH179" s="76"/>
      <c r="AK179" s="71"/>
      <c r="AM179" s="71"/>
      <c r="AN179" s="71"/>
      <c r="AO179" s="71" t="s">
        <v>254</v>
      </c>
      <c r="AP179" s="71" t="s">
        <v>255</v>
      </c>
      <c r="AQ179" s="71"/>
      <c r="AS179" s="71" t="s">
        <v>204</v>
      </c>
      <c r="AT179" s="75" t="s">
        <v>217</v>
      </c>
      <c r="AV179" s="75" t="s">
        <v>218</v>
      </c>
      <c r="AW179" s="75" t="s">
        <v>198</v>
      </c>
      <c r="AX179" s="75" t="str">
        <f t="shared" si="15"/>
        <v>CRISTINA CASTAÑO CASTILLO</v>
      </c>
      <c r="BA179" s="75" t="s">
        <v>209</v>
      </c>
      <c r="BB179" s="75" t="str">
        <f t="shared" si="17"/>
        <v>LUIS ARTURO BASTIDAS</v>
      </c>
      <c r="BE179" s="75" t="s">
        <v>200</v>
      </c>
      <c r="BF179" s="75" t="s">
        <v>220</v>
      </c>
      <c r="BK179" s="71" t="s">
        <v>395</v>
      </c>
      <c r="BL179" s="71" t="str">
        <v>INV COM CIE DER ETI SST EMP CUL</v>
      </c>
    </row>
    <row r="180" spans="1:64" x14ac:dyDescent="0.25">
      <c r="A180" s="70">
        <v>3235975</v>
      </c>
      <c r="B180" s="71" t="s">
        <v>245</v>
      </c>
      <c r="C180" s="71">
        <v>71</v>
      </c>
      <c r="D180" s="72" t="s">
        <v>101</v>
      </c>
      <c r="E180" s="73" t="s">
        <v>102</v>
      </c>
      <c r="F180" s="74">
        <f t="shared" si="11"/>
        <v>46448</v>
      </c>
      <c r="G180" s="73" t="s">
        <v>121</v>
      </c>
      <c r="H180" s="73"/>
      <c r="K180" s="71" t="s">
        <v>396</v>
      </c>
      <c r="M180" s="70" t="s">
        <v>396</v>
      </c>
      <c r="O180" s="71" t="str">
        <f>VLOOKUP(A180,Hoja4!$A$2:$B$247,2,FALSE)</f>
        <v>CLAUDIA ROCIO VACCA GARCIA</v>
      </c>
      <c r="P180" s="71" t="s">
        <v>300</v>
      </c>
      <c r="Q180" s="73" t="s">
        <v>397</v>
      </c>
      <c r="U180" s="75"/>
      <c r="W180" s="75"/>
      <c r="Y180" s="75"/>
      <c r="AC180" s="75"/>
      <c r="AH180" s="76"/>
      <c r="AK180" s="71"/>
      <c r="AM180" s="71"/>
      <c r="AN180" s="71"/>
      <c r="AO180" s="71" t="s">
        <v>254</v>
      </c>
      <c r="AP180" s="71" t="s">
        <v>255</v>
      </c>
      <c r="AQ180" s="71"/>
      <c r="AS180" s="71" t="s">
        <v>204</v>
      </c>
      <c r="AT180" s="75" t="s">
        <v>205</v>
      </c>
      <c r="AV180" s="75" t="s">
        <v>218</v>
      </c>
      <c r="AW180" s="75" t="s">
        <v>198</v>
      </c>
      <c r="AX180" s="75" t="str">
        <f t="shared" si="15"/>
        <v>ERICK RUIZ NOREÑA</v>
      </c>
      <c r="BA180" s="75" t="s">
        <v>242</v>
      </c>
      <c r="BB180" s="75" t="str">
        <f t="shared" si="17"/>
        <v>LAURA SOFIA PAEZ GALLO</v>
      </c>
      <c r="BE180" s="75" t="s">
        <v>200</v>
      </c>
      <c r="BF180" s="75" t="s">
        <v>220</v>
      </c>
      <c r="BK180" s="71" t="s">
        <v>395</v>
      </c>
      <c r="BL180" s="71" t="str">
        <v>INV COM CIE DER ETI SST EMP CUL</v>
      </c>
    </row>
    <row r="181" spans="1:64" x14ac:dyDescent="0.25">
      <c r="A181" s="70">
        <v>3235976</v>
      </c>
      <c r="B181" s="71" t="s">
        <v>245</v>
      </c>
      <c r="C181" s="71">
        <v>68</v>
      </c>
      <c r="D181" s="72" t="s">
        <v>101</v>
      </c>
      <c r="E181" s="73" t="s">
        <v>102</v>
      </c>
      <c r="F181" s="74">
        <f t="shared" si="11"/>
        <v>46448</v>
      </c>
      <c r="G181" s="73" t="s">
        <v>121</v>
      </c>
      <c r="H181" s="73"/>
      <c r="K181" s="71" t="s">
        <v>396</v>
      </c>
      <c r="M181" s="70" t="s">
        <v>396</v>
      </c>
      <c r="O181" s="71" t="str">
        <f>VLOOKUP(A181,Hoja4!$A$2:$B$247,2,FALSE)</f>
        <v>CLAUDIA ROCIO VACCA GARCIA</v>
      </c>
      <c r="P181" s="71" t="s">
        <v>300</v>
      </c>
      <c r="Q181" s="73" t="s">
        <v>397</v>
      </c>
      <c r="U181" s="75"/>
      <c r="W181" s="75"/>
      <c r="Y181" s="75"/>
      <c r="AC181" s="75"/>
      <c r="AH181" s="76"/>
      <c r="AK181" s="71"/>
      <c r="AM181" s="71"/>
      <c r="AN181" s="71"/>
      <c r="AO181" s="71" t="s">
        <v>254</v>
      </c>
      <c r="AP181" s="71" t="s">
        <v>255</v>
      </c>
      <c r="AQ181" s="71"/>
      <c r="AS181" s="71" t="s">
        <v>204</v>
      </c>
      <c r="AT181" s="75" t="s">
        <v>221</v>
      </c>
      <c r="AV181" s="75" t="s">
        <v>218</v>
      </c>
      <c r="AW181" s="75" t="s">
        <v>242</v>
      </c>
      <c r="AX181" s="75" t="str">
        <f t="shared" si="15"/>
        <v>LAURA SOFIA PAEZ GALLO</v>
      </c>
      <c r="BA181" s="75" t="s">
        <v>209</v>
      </c>
      <c r="BB181" s="75" t="str">
        <f t="shared" si="17"/>
        <v>ESTEFANIA SANDOVAL CRUZ</v>
      </c>
      <c r="BE181" s="75" t="s">
        <v>200</v>
      </c>
      <c r="BF181" s="75" t="s">
        <v>220</v>
      </c>
      <c r="BK181" s="71" t="s">
        <v>391</v>
      </c>
      <c r="BL181" s="71" t="str">
        <v>INV COM TIC CIE DER ETI SST EMP CUL</v>
      </c>
    </row>
    <row r="182" spans="1:64" x14ac:dyDescent="0.25">
      <c r="A182" s="70">
        <v>3236532</v>
      </c>
      <c r="B182" s="71" t="s">
        <v>245</v>
      </c>
      <c r="C182" s="71">
        <v>51</v>
      </c>
      <c r="D182" s="72" t="s">
        <v>96</v>
      </c>
      <c r="E182" s="73" t="s">
        <v>102</v>
      </c>
      <c r="F182" s="74">
        <f t="shared" si="11"/>
        <v>46448</v>
      </c>
      <c r="G182" s="73" t="s">
        <v>121</v>
      </c>
      <c r="H182" s="73"/>
      <c r="K182" s="71" t="s">
        <v>246</v>
      </c>
      <c r="M182" s="70" t="s">
        <v>246</v>
      </c>
      <c r="O182" s="71" t="str">
        <f>VLOOKUP(A182,Hoja4!$A$2:$B$247,2,FALSE)</f>
        <v>HELDA MARINA SEPULVEDA VEGA         </v>
      </c>
      <c r="P182" s="71" t="s">
        <v>223</v>
      </c>
      <c r="Q182" s="73" t="s">
        <v>248</v>
      </c>
      <c r="U182" s="75"/>
      <c r="W182" s="75"/>
      <c r="Y182" s="75"/>
      <c r="AC182" s="75"/>
      <c r="AH182" s="76"/>
      <c r="AK182" s="71"/>
      <c r="AM182" s="71"/>
      <c r="AN182" s="71"/>
      <c r="AO182" s="71" t="s">
        <v>200</v>
      </c>
      <c r="AP182" s="71" t="s">
        <v>220</v>
      </c>
      <c r="AQ182" s="71"/>
      <c r="AS182" s="71" t="s">
        <v>196</v>
      </c>
      <c r="AT182" s="75" t="s">
        <v>197</v>
      </c>
      <c r="AV182" s="75" t="s">
        <v>218</v>
      </c>
      <c r="AW182" s="75" t="s">
        <v>198</v>
      </c>
      <c r="AX182" s="75" t="str">
        <f t="shared" si="15"/>
        <v>SONIA PATRICIA CASTAÑEDA CAYCEDO</v>
      </c>
      <c r="BA182" s="75" t="s">
        <v>206</v>
      </c>
      <c r="BB182" s="75" t="str">
        <f t="shared" si="17"/>
        <v>MARINELLA DIAZ ACOSTA</v>
      </c>
      <c r="BK182" s="71" t="s">
        <v>391</v>
      </c>
      <c r="BL182" s="71" t="str">
        <v>INV COM TIC MAT CIE DER ETI SST EMP CUL</v>
      </c>
    </row>
    <row r="183" spans="1:64" x14ac:dyDescent="0.25">
      <c r="A183" s="70">
        <v>3335698</v>
      </c>
      <c r="B183" s="71" t="s">
        <v>245</v>
      </c>
      <c r="C183" s="71">
        <v>42</v>
      </c>
      <c r="D183" s="72" t="s">
        <v>99</v>
      </c>
      <c r="E183" s="73" t="s">
        <v>114</v>
      </c>
      <c r="F183" s="74">
        <f t="shared" si="11"/>
        <v>46566</v>
      </c>
      <c r="G183" s="73" t="s">
        <v>122</v>
      </c>
      <c r="K183" s="82" t="s">
        <v>261</v>
      </c>
      <c r="M183" s="82" t="s">
        <v>261</v>
      </c>
      <c r="O183" s="71" t="str">
        <f>VLOOKUP(A183,Hoja4!$A$2:$B$247,2,FALSE)</f>
        <v>GUSTAVO ADOLFO MORALES CAMARGO</v>
      </c>
      <c r="Q183" s="73" t="s">
        <v>398</v>
      </c>
      <c r="BE183" s="75" t="s">
        <v>204</v>
      </c>
      <c r="BF183" s="75" t="s">
        <v>205</v>
      </c>
      <c r="BK183" s="73" t="s">
        <v>391</v>
      </c>
      <c r="BL183" s="73" t="str">
        <v>INV COM TIC MAT CIE DER SST EMP CUL</v>
      </c>
    </row>
    <row r="184" spans="1:64" x14ac:dyDescent="0.25">
      <c r="A184" s="70">
        <v>3335699</v>
      </c>
      <c r="B184" s="71" t="s">
        <v>245</v>
      </c>
      <c r="C184" s="71">
        <v>52</v>
      </c>
      <c r="D184" s="72" t="s">
        <v>99</v>
      </c>
      <c r="E184" s="73" t="s">
        <v>114</v>
      </c>
      <c r="F184" s="74">
        <f t="shared" si="11"/>
        <v>46566</v>
      </c>
      <c r="G184" s="73" t="s">
        <v>122</v>
      </c>
      <c r="K184" s="82" t="s">
        <v>261</v>
      </c>
      <c r="M184" s="82" t="s">
        <v>261</v>
      </c>
      <c r="O184" s="71" t="str">
        <f>VLOOKUP(A184,Hoja4!$A$2:$B$247,2,FALSE)</f>
        <v>GUSTAVO ADOLFO MORALES CAMARGO</v>
      </c>
      <c r="Q184" s="73" t="s">
        <v>398</v>
      </c>
      <c r="BE184" s="75" t="s">
        <v>204</v>
      </c>
      <c r="BF184" s="75" t="s">
        <v>221</v>
      </c>
      <c r="BK184" s="73" t="s">
        <v>399</v>
      </c>
      <c r="BL184" s="73" t="str">
        <v>INV COM TIC CIE DER SST EMP CUL</v>
      </c>
    </row>
    <row r="185" spans="1:64" x14ac:dyDescent="0.25">
      <c r="A185" s="70">
        <v>3335833</v>
      </c>
      <c r="B185" s="71" t="s">
        <v>245</v>
      </c>
      <c r="C185" s="71">
        <v>50</v>
      </c>
      <c r="D185" s="72" t="s">
        <v>123</v>
      </c>
      <c r="E185" s="73" t="s">
        <v>114</v>
      </c>
      <c r="F185" s="74">
        <f t="shared" si="11"/>
        <v>46566</v>
      </c>
      <c r="G185" s="73" t="s">
        <v>122</v>
      </c>
      <c r="K185" s="80" t="s">
        <v>400</v>
      </c>
      <c r="M185" s="80" t="s">
        <v>400</v>
      </c>
      <c r="O185" s="71" t="str">
        <f>VLOOKUP(A185,Hoja4!$A$2:$B$247,2,FALSE)</f>
        <v>MIGUEL ALEJANDRO PEÑA CUBIDES</v>
      </c>
      <c r="Q185" s="73" t="s">
        <v>401</v>
      </c>
      <c r="BE185" s="75" t="s">
        <v>198</v>
      </c>
      <c r="BF185" s="75" t="s">
        <v>253</v>
      </c>
      <c r="BK185" s="73" t="s">
        <v>391</v>
      </c>
      <c r="BL185" s="73" t="str">
        <v>INV COM MAT CIE DER ETI SST EMP CUL</v>
      </c>
    </row>
    <row r="186" spans="1:64" x14ac:dyDescent="0.25">
      <c r="A186" s="70">
        <v>3335834</v>
      </c>
      <c r="B186" s="71" t="s">
        <v>245</v>
      </c>
      <c r="C186" s="71">
        <v>42</v>
      </c>
      <c r="D186" s="72" t="s">
        <v>123</v>
      </c>
      <c r="E186" s="73" t="s">
        <v>114</v>
      </c>
      <c r="F186" s="74">
        <f t="shared" ref="F186:F231" si="18">IF(
OR(((ROUND((G186-E186)/30,0))=27),((ROUND((G186-E186)/30,0))=15)),
EDATE(G186,-6),
IF(
(ROUND((G186-E186)/30,0))=12,
EDATE(G186,-3),
IF(
(ROUND((G186-E186)/30,0))=9,
EDATE(G186,0),"CALCULAR")))</f>
        <v>46566</v>
      </c>
      <c r="G186" s="73" t="s">
        <v>122</v>
      </c>
      <c r="K186" s="83" t="s">
        <v>402</v>
      </c>
      <c r="M186" s="83" t="s">
        <v>402</v>
      </c>
      <c r="O186" s="71" t="str">
        <f>VLOOKUP(A186,Hoja4!$A$2:$B$247,2,FALSE)</f>
        <v>LIDA ASTRID MEJIA GONZALEZ </v>
      </c>
      <c r="Q186" s="73" t="s">
        <v>401</v>
      </c>
      <c r="BE186" s="75" t="s">
        <v>198</v>
      </c>
      <c r="BF186" s="75" t="s">
        <v>253</v>
      </c>
      <c r="BK186" s="73" t="s">
        <v>391</v>
      </c>
      <c r="BL186" s="73" t="str">
        <v>INV COM MAT CIE DER ETI SST EMP CUL</v>
      </c>
    </row>
    <row r="187" spans="1:64" x14ac:dyDescent="0.25">
      <c r="A187" s="70">
        <v>3335835</v>
      </c>
      <c r="B187" s="71" t="s">
        <v>245</v>
      </c>
      <c r="C187" s="71">
        <v>46</v>
      </c>
      <c r="D187" s="72" t="s">
        <v>123</v>
      </c>
      <c r="E187" s="73" t="s">
        <v>114</v>
      </c>
      <c r="F187" s="74">
        <f t="shared" si="18"/>
        <v>46566</v>
      </c>
      <c r="G187" s="73" t="s">
        <v>122</v>
      </c>
      <c r="K187" s="83" t="s">
        <v>229</v>
      </c>
      <c r="M187" s="83" t="s">
        <v>229</v>
      </c>
      <c r="O187" s="71" t="str">
        <f>VLOOKUP(A187,Hoja4!$A$2:$B$247,2,FALSE)</f>
        <v>VERONICA ALEXANDRA IBARRA FIRACATIVE       </v>
      </c>
      <c r="Q187" s="73" t="s">
        <v>401</v>
      </c>
      <c r="BE187" s="75" t="s">
        <v>198</v>
      </c>
      <c r="BF187" s="75" t="s">
        <v>253</v>
      </c>
      <c r="BK187" s="73" t="s">
        <v>391</v>
      </c>
      <c r="BL187" s="73" t="str">
        <v>INV COM MAT CIE DER ETI SST EMP CUL</v>
      </c>
    </row>
    <row r="188" spans="1:64" x14ac:dyDescent="0.25">
      <c r="A188" s="70">
        <v>3335836</v>
      </c>
      <c r="B188" s="71" t="s">
        <v>245</v>
      </c>
      <c r="C188" s="71">
        <v>45</v>
      </c>
      <c r="D188" s="72" t="s">
        <v>123</v>
      </c>
      <c r="E188" s="73" t="s">
        <v>114</v>
      </c>
      <c r="F188" s="74">
        <f t="shared" si="18"/>
        <v>46566</v>
      </c>
      <c r="G188" s="73" t="s">
        <v>122</v>
      </c>
      <c r="K188" s="79" t="s">
        <v>232</v>
      </c>
      <c r="M188" s="79" t="s">
        <v>232</v>
      </c>
      <c r="O188" s="71" t="str">
        <f>VLOOKUP(A188,Hoja4!$A$2:$B$247,2,FALSE)</f>
        <v>LUIS MIGUEL ANGARITA BUENAVENTURA           </v>
      </c>
      <c r="Q188" s="73" t="s">
        <v>401</v>
      </c>
      <c r="BE188" s="75" t="s">
        <v>198</v>
      </c>
      <c r="BF188" s="75" t="s">
        <v>253</v>
      </c>
      <c r="BK188" s="73" t="s">
        <v>391</v>
      </c>
      <c r="BL188" s="73" t="str">
        <v>INV COM MAT CIE DER ETI SST EMP CUL</v>
      </c>
    </row>
    <row r="189" spans="1:64" x14ac:dyDescent="0.25">
      <c r="A189" s="70">
        <v>3335837</v>
      </c>
      <c r="B189" s="71" t="s">
        <v>245</v>
      </c>
      <c r="C189" s="71">
        <v>43</v>
      </c>
      <c r="D189" s="72" t="s">
        <v>123</v>
      </c>
      <c r="E189" s="73" t="s">
        <v>114</v>
      </c>
      <c r="F189" s="74">
        <f t="shared" si="18"/>
        <v>46566</v>
      </c>
      <c r="G189" s="73" t="s">
        <v>122</v>
      </c>
      <c r="K189" s="80" t="s">
        <v>400</v>
      </c>
      <c r="M189" s="80" t="s">
        <v>400</v>
      </c>
      <c r="O189" s="71" t="str">
        <f>VLOOKUP(A189,Hoja4!$A$2:$B$247,2,FALSE)</f>
        <v>MIGUEL ALEJANDRO PEÑA CUBIDES</v>
      </c>
      <c r="Q189" s="73" t="s">
        <v>401</v>
      </c>
      <c r="BE189" s="75" t="s">
        <v>198</v>
      </c>
      <c r="BF189" s="75" t="s">
        <v>253</v>
      </c>
      <c r="BK189" s="73" t="s">
        <v>391</v>
      </c>
      <c r="BL189" s="73" t="str">
        <v>INV COM MAT CIE DER ETI SST EMP CUL</v>
      </c>
    </row>
    <row r="190" spans="1:64" x14ac:dyDescent="0.25">
      <c r="A190" s="70">
        <v>3335838</v>
      </c>
      <c r="B190" s="71" t="s">
        <v>245</v>
      </c>
      <c r="C190" s="71">
        <v>53</v>
      </c>
      <c r="D190" s="72" t="s">
        <v>123</v>
      </c>
      <c r="E190" s="73" t="s">
        <v>114</v>
      </c>
      <c r="F190" s="74">
        <f t="shared" si="18"/>
        <v>46566</v>
      </c>
      <c r="G190" s="73" t="s">
        <v>122</v>
      </c>
      <c r="K190" s="83" t="s">
        <v>229</v>
      </c>
      <c r="M190" s="83" t="s">
        <v>229</v>
      </c>
      <c r="O190" s="71" t="str">
        <f>VLOOKUP(A190,Hoja4!$A$2:$B$247,2,FALSE)</f>
        <v>MOISES EDGARDO MERIÑO POLO          </v>
      </c>
      <c r="Q190" s="73" t="s">
        <v>401</v>
      </c>
      <c r="BE190" s="75" t="s">
        <v>198</v>
      </c>
      <c r="BF190" s="75" t="s">
        <v>253</v>
      </c>
      <c r="BK190" s="73" t="s">
        <v>391</v>
      </c>
      <c r="BL190" s="73" t="str">
        <v>INV COM MAT CIE DER ETI SST EMP CUL</v>
      </c>
    </row>
    <row r="191" spans="1:64" x14ac:dyDescent="0.25">
      <c r="A191" s="70">
        <v>3335839</v>
      </c>
      <c r="B191" s="71" t="s">
        <v>245</v>
      </c>
      <c r="C191" s="71">
        <v>45</v>
      </c>
      <c r="D191" s="72" t="s">
        <v>123</v>
      </c>
      <c r="E191" s="73" t="s">
        <v>114</v>
      </c>
      <c r="F191" s="74">
        <f t="shared" si="18"/>
        <v>46566</v>
      </c>
      <c r="G191" s="73" t="s">
        <v>122</v>
      </c>
      <c r="K191" s="79" t="s">
        <v>232</v>
      </c>
      <c r="M191" s="79" t="s">
        <v>232</v>
      </c>
      <c r="O191" s="71" t="str">
        <f>VLOOKUP(A191,Hoja4!$A$2:$B$247,2,FALSE)</f>
        <v>LUIS MIGUEL ANGARITA BUENAVENTURA           </v>
      </c>
      <c r="Q191" s="73" t="s">
        <v>401</v>
      </c>
      <c r="BE191" s="75" t="s">
        <v>198</v>
      </c>
      <c r="BF191" s="75" t="s">
        <v>225</v>
      </c>
      <c r="BK191" s="73" t="s">
        <v>391</v>
      </c>
      <c r="BL191" s="73" t="str">
        <v>INV COM MAT CIE DER ETI SST EMP CUL</v>
      </c>
    </row>
    <row r="192" spans="1:64" x14ac:dyDescent="0.25">
      <c r="A192" s="70">
        <v>3335840</v>
      </c>
      <c r="B192" s="71" t="s">
        <v>245</v>
      </c>
      <c r="C192" s="71">
        <v>49</v>
      </c>
      <c r="D192" s="72" t="s">
        <v>123</v>
      </c>
      <c r="E192" s="73" t="s">
        <v>114</v>
      </c>
      <c r="F192" s="74">
        <f t="shared" si="18"/>
        <v>46566</v>
      </c>
      <c r="G192" s="73" t="s">
        <v>122</v>
      </c>
      <c r="K192" s="79" t="s">
        <v>232</v>
      </c>
      <c r="M192" s="79" t="s">
        <v>232</v>
      </c>
      <c r="O192" s="71" t="str">
        <f>VLOOKUP(A192,Hoja4!$A$2:$B$247,2,FALSE)</f>
        <v>YERSON ALVEIRO DUARTE VELASCO   </v>
      </c>
      <c r="Q192" s="73" t="s">
        <v>401</v>
      </c>
      <c r="BE192" s="75" t="s">
        <v>198</v>
      </c>
      <c r="BF192" s="75" t="s">
        <v>225</v>
      </c>
      <c r="BK192" s="73" t="s">
        <v>391</v>
      </c>
      <c r="BL192" s="73" t="str">
        <v>INV COM MAT CIE DER ETI SST EMP CUL</v>
      </c>
    </row>
    <row r="193" spans="1:64" x14ac:dyDescent="0.25">
      <c r="A193" s="70">
        <v>3335841</v>
      </c>
      <c r="B193" s="71" t="s">
        <v>245</v>
      </c>
      <c r="C193" s="71">
        <v>45</v>
      </c>
      <c r="D193" s="72" t="s">
        <v>123</v>
      </c>
      <c r="E193" s="73" t="s">
        <v>114</v>
      </c>
      <c r="F193" s="74">
        <f t="shared" si="18"/>
        <v>46566</v>
      </c>
      <c r="G193" s="73" t="s">
        <v>122</v>
      </c>
      <c r="K193" s="80" t="s">
        <v>400</v>
      </c>
      <c r="M193" s="80" t="s">
        <v>400</v>
      </c>
      <c r="O193" s="71" t="str">
        <f>VLOOKUP(A193,Hoja4!$A$2:$B$247,2,FALSE)</f>
        <v>MIGUEL ALEJANDRO PEÑA CUBIDES</v>
      </c>
      <c r="Q193" s="73" t="s">
        <v>401</v>
      </c>
      <c r="BE193" s="75" t="s">
        <v>198</v>
      </c>
      <c r="BF193" s="75" t="s">
        <v>225</v>
      </c>
      <c r="BK193" s="73" t="s">
        <v>391</v>
      </c>
      <c r="BL193" s="73" t="str">
        <v>INV COM MAT CIE DER ETI SST EMP CUL</v>
      </c>
    </row>
    <row r="194" spans="1:64" x14ac:dyDescent="0.25">
      <c r="A194" s="70">
        <v>3335842</v>
      </c>
      <c r="B194" s="71" t="s">
        <v>245</v>
      </c>
      <c r="C194" s="71">
        <v>50</v>
      </c>
      <c r="D194" s="72" t="s">
        <v>123</v>
      </c>
      <c r="E194" s="73" t="s">
        <v>114</v>
      </c>
      <c r="F194" s="74">
        <f t="shared" si="18"/>
        <v>46566</v>
      </c>
      <c r="G194" s="73" t="s">
        <v>122</v>
      </c>
      <c r="K194" s="83" t="s">
        <v>229</v>
      </c>
      <c r="M194" s="83" t="s">
        <v>229</v>
      </c>
      <c r="O194" s="71" t="str">
        <f>VLOOKUP(A194,Hoja4!$A$2:$B$247,2,FALSE)</f>
        <v>VERONICA ALEXANDRA IBARRA FIRACATIVE       </v>
      </c>
      <c r="Q194" s="73" t="s">
        <v>401</v>
      </c>
      <c r="BE194" s="75" t="s">
        <v>198</v>
      </c>
      <c r="BF194" s="75" t="s">
        <v>225</v>
      </c>
      <c r="BK194" s="73" t="s">
        <v>391</v>
      </c>
      <c r="BL194" s="73" t="str">
        <v>INV COM MAT CIE DER ETI SST EMP CUL</v>
      </c>
    </row>
    <row r="195" spans="1:64" x14ac:dyDescent="0.25">
      <c r="A195" s="70">
        <v>3335843</v>
      </c>
      <c r="B195" s="71" t="s">
        <v>245</v>
      </c>
      <c r="C195" s="71">
        <v>49</v>
      </c>
      <c r="D195" s="72" t="s">
        <v>123</v>
      </c>
      <c r="E195" s="73" t="s">
        <v>114</v>
      </c>
      <c r="F195" s="74">
        <f t="shared" si="18"/>
        <v>46566</v>
      </c>
      <c r="G195" s="73" t="s">
        <v>122</v>
      </c>
      <c r="K195" s="79" t="s">
        <v>232</v>
      </c>
      <c r="M195" s="79" t="s">
        <v>232</v>
      </c>
      <c r="O195" s="71" t="str">
        <f>VLOOKUP(A195,Hoja4!$A$2:$B$247,2,FALSE)</f>
        <v>YERSON ALVEIRO DUARTE VELASCO   </v>
      </c>
      <c r="Q195" s="73" t="s">
        <v>401</v>
      </c>
      <c r="BE195" s="75" t="s">
        <v>198</v>
      </c>
      <c r="BF195" s="75" t="s">
        <v>225</v>
      </c>
      <c r="BK195" s="73" t="s">
        <v>391</v>
      </c>
      <c r="BL195" s="73" t="str">
        <v>INV COM MAT CIE DER ETI SST EMP CUL</v>
      </c>
    </row>
    <row r="196" spans="1:64" x14ac:dyDescent="0.25">
      <c r="A196" s="70">
        <v>3335844</v>
      </c>
      <c r="B196" s="71" t="s">
        <v>245</v>
      </c>
      <c r="C196" s="71">
        <v>45</v>
      </c>
      <c r="D196" s="72" t="s">
        <v>123</v>
      </c>
      <c r="E196" s="73" t="s">
        <v>114</v>
      </c>
      <c r="F196" s="74">
        <f t="shared" si="18"/>
        <v>46566</v>
      </c>
      <c r="G196" s="73" t="s">
        <v>122</v>
      </c>
      <c r="K196" s="83" t="s">
        <v>402</v>
      </c>
      <c r="M196" s="83" t="s">
        <v>402</v>
      </c>
      <c r="O196" s="71" t="str">
        <f>VLOOKUP(A196,Hoja4!$A$2:$B$247,2,FALSE)</f>
        <v>LIDA ASTRID MEJIA GONZALEZ </v>
      </c>
      <c r="Q196" s="73" t="s">
        <v>401</v>
      </c>
      <c r="BE196" s="75" t="s">
        <v>198</v>
      </c>
      <c r="BF196" s="75" t="s">
        <v>225</v>
      </c>
      <c r="BK196" s="73" t="s">
        <v>391</v>
      </c>
      <c r="BL196" s="73" t="str">
        <v>INV COM MAT CIE DER ETI SST EMP CUL</v>
      </c>
    </row>
    <row r="197" spans="1:64" x14ac:dyDescent="0.25">
      <c r="A197" s="70">
        <v>3335845</v>
      </c>
      <c r="B197" s="71" t="s">
        <v>245</v>
      </c>
      <c r="C197" s="71">
        <v>45</v>
      </c>
      <c r="D197" s="72" t="s">
        <v>123</v>
      </c>
      <c r="E197" s="73" t="s">
        <v>114</v>
      </c>
      <c r="F197" s="74">
        <f t="shared" si="18"/>
        <v>46566</v>
      </c>
      <c r="G197" s="73" t="s">
        <v>122</v>
      </c>
      <c r="K197" s="83" t="s">
        <v>402</v>
      </c>
      <c r="M197" s="83" t="s">
        <v>402</v>
      </c>
      <c r="O197" s="71" t="str">
        <f>VLOOKUP(A197,Hoja4!$A$2:$B$247,2,FALSE)</f>
        <v>LIDA ASTRID MEJIA GONZALEZ </v>
      </c>
      <c r="Q197" s="73" t="s">
        <v>401</v>
      </c>
      <c r="BE197" s="75" t="s">
        <v>198</v>
      </c>
      <c r="BF197" s="75" t="s">
        <v>199</v>
      </c>
      <c r="BK197" s="73" t="s">
        <v>391</v>
      </c>
      <c r="BL197" s="73" t="str">
        <v>INV COM MAT CIE DER ETI SST EMP CUL</v>
      </c>
    </row>
    <row r="198" spans="1:64" x14ac:dyDescent="0.25">
      <c r="A198" s="70">
        <v>3335846</v>
      </c>
      <c r="B198" s="71" t="s">
        <v>245</v>
      </c>
      <c r="C198" s="71">
        <v>42</v>
      </c>
      <c r="D198" s="72" t="s">
        <v>123</v>
      </c>
      <c r="E198" s="73" t="s">
        <v>114</v>
      </c>
      <c r="F198" s="74">
        <f t="shared" si="18"/>
        <v>46566</v>
      </c>
      <c r="G198" s="73" t="s">
        <v>122</v>
      </c>
      <c r="K198" s="83" t="s">
        <v>402</v>
      </c>
      <c r="M198" s="83" t="s">
        <v>402</v>
      </c>
      <c r="O198" s="71" t="str">
        <f>VLOOKUP(A198,Hoja4!$A$2:$B$247,2,FALSE)</f>
        <v>LIDA ASTRID MEJIA GONZALEZ </v>
      </c>
      <c r="Q198" s="73" t="s">
        <v>401</v>
      </c>
      <c r="BE198" s="75" t="s">
        <v>198</v>
      </c>
      <c r="BF198" s="75" t="s">
        <v>199</v>
      </c>
      <c r="BK198" s="73" t="s">
        <v>391</v>
      </c>
      <c r="BL198" s="73" t="str">
        <v>INV COM MAT CIE DER ETI SST EMP CUL</v>
      </c>
    </row>
    <row r="199" spans="1:64" x14ac:dyDescent="0.25">
      <c r="A199" s="70">
        <v>3335847</v>
      </c>
      <c r="B199" s="71" t="s">
        <v>245</v>
      </c>
      <c r="C199" s="71">
        <v>43</v>
      </c>
      <c r="D199" s="72" t="s">
        <v>123</v>
      </c>
      <c r="E199" s="73" t="s">
        <v>114</v>
      </c>
      <c r="F199" s="74">
        <f t="shared" si="18"/>
        <v>46566</v>
      </c>
      <c r="G199" s="73" t="s">
        <v>122</v>
      </c>
      <c r="K199" s="79" t="s">
        <v>232</v>
      </c>
      <c r="M199" s="79" t="s">
        <v>232</v>
      </c>
      <c r="O199" s="71" t="str">
        <f>VLOOKUP(A199,Hoja4!$A$2:$B$247,2,FALSE)</f>
        <v>LUIS MIGUEL ANGARITA BUENAVENTURA           </v>
      </c>
      <c r="Q199" s="73" t="s">
        <v>401</v>
      </c>
      <c r="BE199" s="75" t="s">
        <v>198</v>
      </c>
      <c r="BF199" s="75" t="s">
        <v>199</v>
      </c>
      <c r="BK199" s="73" t="s">
        <v>391</v>
      </c>
      <c r="BL199" s="73" t="str">
        <v>INV COM MAT CIE DER ETI SST EMP CUL</v>
      </c>
    </row>
    <row r="200" spans="1:64" x14ac:dyDescent="0.25">
      <c r="A200" s="70">
        <v>3335848</v>
      </c>
      <c r="B200" s="71" t="s">
        <v>245</v>
      </c>
      <c r="C200" s="71">
        <v>42</v>
      </c>
      <c r="D200" s="72" t="s">
        <v>123</v>
      </c>
      <c r="E200" s="73" t="s">
        <v>114</v>
      </c>
      <c r="F200" s="74">
        <f t="shared" si="18"/>
        <v>46566</v>
      </c>
      <c r="G200" s="73" t="s">
        <v>122</v>
      </c>
      <c r="K200" s="82" t="s">
        <v>229</v>
      </c>
      <c r="M200" s="82" t="s">
        <v>229</v>
      </c>
      <c r="O200" s="71" t="str">
        <f>VLOOKUP(A200,Hoja4!$A$2:$B$247,2,FALSE)</f>
        <v>VERONICA ALEXANDRA IBARRA FIRACATIVE       </v>
      </c>
      <c r="Q200" s="73" t="s">
        <v>401</v>
      </c>
      <c r="BE200" s="75" t="s">
        <v>198</v>
      </c>
      <c r="BF200" s="75" t="s">
        <v>199</v>
      </c>
      <c r="BK200" s="73" t="s">
        <v>391</v>
      </c>
      <c r="BL200" s="73" t="str">
        <v>INV COM MAT CIE DER ETI SST EMP CUL</v>
      </c>
    </row>
    <row r="201" spans="1:64" x14ac:dyDescent="0.25">
      <c r="A201" s="70">
        <v>3335849</v>
      </c>
      <c r="B201" s="71" t="s">
        <v>245</v>
      </c>
      <c r="C201" s="71">
        <v>51</v>
      </c>
      <c r="D201" s="72" t="s">
        <v>123</v>
      </c>
      <c r="E201" s="73" t="s">
        <v>114</v>
      </c>
      <c r="F201" s="74">
        <f t="shared" si="18"/>
        <v>46566</v>
      </c>
      <c r="G201" s="73" t="s">
        <v>122</v>
      </c>
      <c r="K201" s="83" t="s">
        <v>229</v>
      </c>
      <c r="M201" s="83" t="s">
        <v>229</v>
      </c>
      <c r="O201" s="71" t="str">
        <f>VLOOKUP(A201,Hoja4!$A$2:$B$247,2,FALSE)</f>
        <v>VERONICA ALEXANDRA IBARRA FIRACATIVE       </v>
      </c>
      <c r="Q201" s="73" t="s">
        <v>401</v>
      </c>
      <c r="BE201" s="75" t="s">
        <v>198</v>
      </c>
      <c r="BF201" s="75" t="s">
        <v>199</v>
      </c>
      <c r="BK201" s="73" t="s">
        <v>391</v>
      </c>
      <c r="BL201" s="73" t="str">
        <v>INV COM MAT CIE DER ETI SST EMP CUL</v>
      </c>
    </row>
    <row r="202" spans="1:64" x14ac:dyDescent="0.25">
      <c r="A202" s="70">
        <v>3336169</v>
      </c>
      <c r="B202" s="71" t="s">
        <v>245</v>
      </c>
      <c r="C202" s="71">
        <v>49</v>
      </c>
      <c r="D202" s="72" t="s">
        <v>271</v>
      </c>
      <c r="E202" s="73" t="s">
        <v>114</v>
      </c>
      <c r="F202" s="74">
        <f t="shared" si="18"/>
        <v>46566</v>
      </c>
      <c r="G202" s="73" t="s">
        <v>122</v>
      </c>
      <c r="K202" s="82" t="s">
        <v>367</v>
      </c>
      <c r="M202" s="82" t="s">
        <v>367</v>
      </c>
      <c r="O202" s="71" t="str">
        <f>VLOOKUP(A202,Hoja4!$A$2:$B$247,2,FALSE)</f>
        <v>ALEX EDUARDO ZAMBRANO PEREZ        </v>
      </c>
      <c r="Q202" s="73" t="s">
        <v>274</v>
      </c>
      <c r="BA202" s="75" t="s">
        <v>198</v>
      </c>
      <c r="BB202" s="75" t="str">
        <f t="shared" ref="BB202:BB218" si="19">VLOOKUP(A202,_p8_2025,2,FALSE)</f>
        <v>ERICK RUIZ NOREÑA</v>
      </c>
      <c r="BE202" s="75" t="s">
        <v>200</v>
      </c>
      <c r="BF202" s="75" t="s">
        <v>201</v>
      </c>
      <c r="BK202" s="73" t="s">
        <v>391</v>
      </c>
      <c r="BL202" s="73" t="str">
        <v>INV COM TIC CIE DER ETI SST EMP CUL</v>
      </c>
    </row>
    <row r="203" spans="1:64" x14ac:dyDescent="0.25">
      <c r="A203" s="70">
        <v>3336170</v>
      </c>
      <c r="B203" s="71" t="s">
        <v>245</v>
      </c>
      <c r="C203" s="71">
        <v>40</v>
      </c>
      <c r="D203" s="72" t="s">
        <v>271</v>
      </c>
      <c r="E203" s="73" t="s">
        <v>114</v>
      </c>
      <c r="F203" s="74">
        <f t="shared" si="18"/>
        <v>46566</v>
      </c>
      <c r="G203" s="73" t="s">
        <v>122</v>
      </c>
      <c r="K203" s="82" t="s">
        <v>291</v>
      </c>
      <c r="M203" s="82" t="s">
        <v>291</v>
      </c>
      <c r="O203" s="71" t="str">
        <f>VLOOKUP(A203,Hoja4!$A$2:$B$247,2,FALSE)</f>
        <v>GUSTAVO ADOLFO CHACÓN</v>
      </c>
      <c r="Q203" s="73" t="s">
        <v>274</v>
      </c>
      <c r="BA203" s="75" t="s">
        <v>198</v>
      </c>
      <c r="BB203" s="75" t="str">
        <f t="shared" si="19"/>
        <v>SONIA PATRICIA CASTAÑEDA CAYCEDO</v>
      </c>
      <c r="BE203" s="75" t="s">
        <v>200</v>
      </c>
      <c r="BF203" s="75" t="s">
        <v>201</v>
      </c>
      <c r="BK203" s="73" t="s">
        <v>391</v>
      </c>
      <c r="BL203" s="73" t="str">
        <v>INV COM TIC CIE DER ETI SST EMP CUL</v>
      </c>
    </row>
    <row r="204" spans="1:64" x14ac:dyDescent="0.25">
      <c r="A204" s="70">
        <v>3336171</v>
      </c>
      <c r="B204" s="71" t="s">
        <v>245</v>
      </c>
      <c r="C204" s="71">
        <v>55</v>
      </c>
      <c r="D204" s="72" t="s">
        <v>271</v>
      </c>
      <c r="E204" s="73" t="s">
        <v>114</v>
      </c>
      <c r="F204" s="74">
        <f t="shared" si="18"/>
        <v>46566</v>
      </c>
      <c r="G204" s="73" t="s">
        <v>122</v>
      </c>
      <c r="K204" s="82" t="s">
        <v>284</v>
      </c>
      <c r="M204" s="82" t="s">
        <v>284</v>
      </c>
      <c r="O204" s="71" t="str">
        <f>VLOOKUP(A204,Hoja4!$A$2:$B$247,2,FALSE)</f>
        <v>JORGE ENRIQUE PORTELA CLEVES           </v>
      </c>
      <c r="Q204" s="73" t="s">
        <v>274</v>
      </c>
      <c r="BA204" s="75" t="s">
        <v>198</v>
      </c>
      <c r="BB204" s="75" t="str">
        <f t="shared" si="19"/>
        <v>SONIA PATRICIA CASTAÑEDA CAYCEDO</v>
      </c>
      <c r="BE204" s="75" t="s">
        <v>200</v>
      </c>
      <c r="BF204" s="75" t="s">
        <v>201</v>
      </c>
      <c r="BK204" s="73" t="s">
        <v>391</v>
      </c>
      <c r="BL204" s="73" t="str">
        <v>INV COM TIC CIE DER ETI SST EMP CUL</v>
      </c>
    </row>
    <row r="205" spans="1:64" x14ac:dyDescent="0.25">
      <c r="A205" s="70">
        <v>3336172</v>
      </c>
      <c r="B205" s="71" t="s">
        <v>245</v>
      </c>
      <c r="C205" s="71">
        <v>48</v>
      </c>
      <c r="D205" s="72" t="s">
        <v>271</v>
      </c>
      <c r="E205" s="73" t="s">
        <v>114</v>
      </c>
      <c r="F205" s="74">
        <f t="shared" si="18"/>
        <v>46566</v>
      </c>
      <c r="G205" s="73" t="s">
        <v>122</v>
      </c>
      <c r="K205" s="80" t="s">
        <v>323</v>
      </c>
      <c r="M205" s="80" t="s">
        <v>323</v>
      </c>
      <c r="O205" s="71" t="str">
        <f>VLOOKUP(A205,Hoja4!$A$2:$B$247,2,FALSE)</f>
        <v>ANA MILENA MOSQUERA SEVILLA         </v>
      </c>
      <c r="Q205" s="73" t="s">
        <v>274</v>
      </c>
      <c r="BA205" s="75" t="s">
        <v>198</v>
      </c>
      <c r="BB205" s="75" t="str">
        <f t="shared" si="19"/>
        <v>CRISTINA CASTAÑO CASTILLO</v>
      </c>
      <c r="BE205" s="75" t="s">
        <v>200</v>
      </c>
      <c r="BF205" s="75" t="s">
        <v>201</v>
      </c>
      <c r="BK205" s="73" t="s">
        <v>391</v>
      </c>
      <c r="BL205" s="73" t="str">
        <v>INV COM TIC CIE DER ETI SST EMP CUL</v>
      </c>
    </row>
    <row r="206" spans="1:64" x14ac:dyDescent="0.25">
      <c r="A206" s="70">
        <v>3336173</v>
      </c>
      <c r="B206" s="71" t="s">
        <v>245</v>
      </c>
      <c r="C206" s="71">
        <v>49</v>
      </c>
      <c r="D206" s="72" t="s">
        <v>271</v>
      </c>
      <c r="E206" s="73" t="s">
        <v>114</v>
      </c>
      <c r="F206" s="74">
        <f t="shared" si="18"/>
        <v>46566</v>
      </c>
      <c r="G206" s="73" t="s">
        <v>122</v>
      </c>
      <c r="K206" s="82" t="s">
        <v>285</v>
      </c>
      <c r="M206" s="82" t="s">
        <v>285</v>
      </c>
      <c r="O206" s="71" t="str">
        <f>VLOOKUP(A206,Hoja4!$A$2:$B$247,2,FALSE)</f>
        <v>JUAN CARLOS GUERRERO MALDONADO              </v>
      </c>
      <c r="Q206" s="73" t="s">
        <v>274</v>
      </c>
      <c r="BA206" s="75" t="s">
        <v>198</v>
      </c>
      <c r="BB206" s="75" t="str">
        <f t="shared" si="19"/>
        <v>SONIA PATRICIA CASTAÑEDA CAYCEDO</v>
      </c>
      <c r="BE206" s="75" t="s">
        <v>200</v>
      </c>
      <c r="BF206" s="75" t="s">
        <v>201</v>
      </c>
      <c r="BK206" s="73" t="s">
        <v>391</v>
      </c>
      <c r="BL206" s="73" t="str">
        <v>INV COM TIC CIE DER ETI SST EMP CUL</v>
      </c>
    </row>
    <row r="207" spans="1:64" x14ac:dyDescent="0.25">
      <c r="A207" s="70">
        <v>3336174</v>
      </c>
      <c r="B207" s="71" t="s">
        <v>245</v>
      </c>
      <c r="C207" s="71">
        <v>51</v>
      </c>
      <c r="D207" s="72" t="s">
        <v>271</v>
      </c>
      <c r="E207" s="73" t="s">
        <v>114</v>
      </c>
      <c r="F207" s="74">
        <f t="shared" si="18"/>
        <v>46566</v>
      </c>
      <c r="G207" s="73" t="s">
        <v>122</v>
      </c>
      <c r="K207" s="82" t="s">
        <v>273</v>
      </c>
      <c r="M207" s="82" t="s">
        <v>273</v>
      </c>
      <c r="O207" s="71" t="str">
        <f>VLOOKUP(A207,Hoja4!$A$2:$B$247,2,FALSE)</f>
        <v>EDUER PABON MORALES</v>
      </c>
      <c r="Q207" s="73" t="s">
        <v>274</v>
      </c>
      <c r="BA207" s="75" t="s">
        <v>198</v>
      </c>
      <c r="BB207" s="75" t="str">
        <f t="shared" si="19"/>
        <v>ERICK RUIZ NOREÑA</v>
      </c>
      <c r="BE207" s="75" t="s">
        <v>200</v>
      </c>
      <c r="BF207" s="75" t="s">
        <v>220</v>
      </c>
      <c r="BK207" s="73" t="s">
        <v>391</v>
      </c>
      <c r="BL207" s="73" t="str">
        <v>INV COM TIC CIE DER ETI SST EMP CUL</v>
      </c>
    </row>
    <row r="208" spans="1:64" x14ac:dyDescent="0.25">
      <c r="A208" s="70">
        <v>3336175</v>
      </c>
      <c r="B208" s="71" t="s">
        <v>245</v>
      </c>
      <c r="C208" s="71">
        <v>48</v>
      </c>
      <c r="D208" s="72" t="s">
        <v>271</v>
      </c>
      <c r="E208" s="73" t="s">
        <v>114</v>
      </c>
      <c r="F208" s="74">
        <f t="shared" si="18"/>
        <v>46566</v>
      </c>
      <c r="G208" s="73" t="s">
        <v>122</v>
      </c>
      <c r="K208" s="80" t="s">
        <v>323</v>
      </c>
      <c r="M208" s="80" t="s">
        <v>323</v>
      </c>
      <c r="O208" s="71" t="str">
        <f>VLOOKUP(A208,Hoja4!$A$2:$B$247,2,FALSE)</f>
        <v>ANA MILENA MOSQUERA SEVILLA         </v>
      </c>
      <c r="Q208" s="73" t="s">
        <v>274</v>
      </c>
      <c r="BA208" s="75" t="s">
        <v>198</v>
      </c>
      <c r="BB208" s="75" t="str">
        <f t="shared" si="19"/>
        <v>ANGELICA JANETH RODRIGUEZ ALONSO</v>
      </c>
      <c r="BE208" s="75" t="s">
        <v>200</v>
      </c>
      <c r="BF208" s="75" t="s">
        <v>214</v>
      </c>
      <c r="BK208" s="73" t="s">
        <v>391</v>
      </c>
      <c r="BL208" s="73" t="str">
        <v>INV COM TIC CIE DER ETI SST EMP CUL</v>
      </c>
    </row>
    <row r="209" spans="1:64" x14ac:dyDescent="0.25">
      <c r="A209" s="70">
        <v>3336176</v>
      </c>
      <c r="B209" s="71" t="s">
        <v>245</v>
      </c>
      <c r="C209" s="71">
        <v>58</v>
      </c>
      <c r="D209" s="72" t="s">
        <v>271</v>
      </c>
      <c r="E209" s="73" t="s">
        <v>114</v>
      </c>
      <c r="F209" s="74">
        <f t="shared" si="18"/>
        <v>46566</v>
      </c>
      <c r="G209" s="73" t="s">
        <v>122</v>
      </c>
      <c r="K209" s="80" t="s">
        <v>323</v>
      </c>
      <c r="M209" s="80" t="s">
        <v>323</v>
      </c>
      <c r="O209" s="71" t="str">
        <f>VLOOKUP(A209,Hoja4!$A$2:$B$247,2,FALSE)</f>
        <v>ANA MILENA MOSQUERA SEVILLA         </v>
      </c>
      <c r="Q209" s="73" t="s">
        <v>274</v>
      </c>
      <c r="BA209" s="75" t="s">
        <v>198</v>
      </c>
      <c r="BB209" s="75" t="str">
        <f t="shared" si="19"/>
        <v>ERICK RUIZ NOREÑA</v>
      </c>
      <c r="BE209" s="75" t="s">
        <v>200</v>
      </c>
      <c r="BF209" s="75" t="s">
        <v>214</v>
      </c>
      <c r="BK209" s="73" t="s">
        <v>391</v>
      </c>
      <c r="BL209" s="73" t="str">
        <v>INV COM TIC CIE DER ETI SST EMP CUL</v>
      </c>
    </row>
    <row r="210" spans="1:64" x14ac:dyDescent="0.25">
      <c r="A210" s="70">
        <v>3336177</v>
      </c>
      <c r="B210" s="71" t="s">
        <v>245</v>
      </c>
      <c r="C210" s="71">
        <v>42</v>
      </c>
      <c r="D210" s="72" t="s">
        <v>271</v>
      </c>
      <c r="E210" s="73" t="s">
        <v>114</v>
      </c>
      <c r="F210" s="74">
        <f t="shared" si="18"/>
        <v>46566</v>
      </c>
      <c r="G210" s="73" t="s">
        <v>122</v>
      </c>
      <c r="K210" s="82" t="s">
        <v>285</v>
      </c>
      <c r="M210" s="82" t="s">
        <v>285</v>
      </c>
      <c r="O210" s="71" t="str">
        <f>VLOOKUP(A210,Hoja4!$A$2:$B$247,2,FALSE)</f>
        <v>JUAN CARLOS GUERRERO MALDONADO              </v>
      </c>
      <c r="Q210" s="73" t="s">
        <v>274</v>
      </c>
      <c r="BA210" s="75" t="s">
        <v>198</v>
      </c>
      <c r="BB210" s="75" t="str">
        <f t="shared" si="19"/>
        <v>SONIA PATRICIA CASTAÑEDA CAYCEDO</v>
      </c>
      <c r="BE210" s="75" t="s">
        <v>200</v>
      </c>
      <c r="BF210" s="75" t="s">
        <v>201</v>
      </c>
      <c r="BK210" s="73" t="s">
        <v>391</v>
      </c>
      <c r="BL210" s="73" t="str">
        <v>INV COM TIC CIE DER ETI SST EMP CUL</v>
      </c>
    </row>
    <row r="211" spans="1:64" x14ac:dyDescent="0.25">
      <c r="A211" s="70">
        <v>3336178</v>
      </c>
      <c r="B211" s="71" t="s">
        <v>245</v>
      </c>
      <c r="C211" s="71">
        <v>42</v>
      </c>
      <c r="D211" s="72" t="s">
        <v>271</v>
      </c>
      <c r="E211" s="73" t="s">
        <v>114</v>
      </c>
      <c r="F211" s="74">
        <f t="shared" si="18"/>
        <v>46566</v>
      </c>
      <c r="G211" s="73" t="s">
        <v>122</v>
      </c>
      <c r="K211" s="80" t="s">
        <v>323</v>
      </c>
      <c r="M211" s="80" t="s">
        <v>323</v>
      </c>
      <c r="O211" s="71" t="str">
        <f>VLOOKUP(A211,Hoja4!$A$2:$B$247,2,FALSE)</f>
        <v>ANA MILENA MOSQUERA SEVILLA         </v>
      </c>
      <c r="Q211" s="73" t="s">
        <v>274</v>
      </c>
      <c r="BA211" s="75" t="s">
        <v>198</v>
      </c>
      <c r="BB211" s="75" t="str">
        <f t="shared" si="19"/>
        <v>ANGELICA JANETH RODRIGUEZ ALONSO</v>
      </c>
      <c r="BE211" s="75" t="s">
        <v>200</v>
      </c>
      <c r="BF211" s="75" t="s">
        <v>214</v>
      </c>
      <c r="BK211" s="73" t="s">
        <v>391</v>
      </c>
      <c r="BL211" s="73" t="str">
        <v>INV COM TIC CIE DER ETI SST EMP CUL</v>
      </c>
    </row>
    <row r="212" spans="1:64" x14ac:dyDescent="0.25">
      <c r="A212" s="70">
        <v>3336179</v>
      </c>
      <c r="B212" s="71" t="s">
        <v>245</v>
      </c>
      <c r="C212" s="71">
        <v>50</v>
      </c>
      <c r="D212" s="72" t="s">
        <v>271</v>
      </c>
      <c r="E212" s="73" t="s">
        <v>114</v>
      </c>
      <c r="F212" s="74">
        <f t="shared" si="18"/>
        <v>46566</v>
      </c>
      <c r="G212" s="73" t="s">
        <v>122</v>
      </c>
      <c r="K212" s="82" t="s">
        <v>291</v>
      </c>
      <c r="M212" s="82" t="s">
        <v>291</v>
      </c>
      <c r="O212" s="71" t="str">
        <f>VLOOKUP(A212,Hoja4!$A$2:$B$247,2,FALSE)</f>
        <v>GUSTAVO ADOLFO CHACÓN</v>
      </c>
      <c r="Q212" s="73" t="s">
        <v>274</v>
      </c>
      <c r="BA212" s="75" t="s">
        <v>198</v>
      </c>
      <c r="BB212" s="75" t="str">
        <f t="shared" si="19"/>
        <v>ANGELICA JANETH RODRIGUEZ ALONSO</v>
      </c>
      <c r="BE212" s="75" t="s">
        <v>200</v>
      </c>
      <c r="BF212" s="75" t="s">
        <v>214</v>
      </c>
      <c r="BK212" s="73" t="s">
        <v>391</v>
      </c>
      <c r="BL212" s="73" t="str">
        <v>INV COM TIC CIE DER ETI SST EMP CUL</v>
      </c>
    </row>
    <row r="213" spans="1:64" x14ac:dyDescent="0.25">
      <c r="A213" s="70">
        <v>3336180</v>
      </c>
      <c r="B213" s="71" t="s">
        <v>245</v>
      </c>
      <c r="C213" s="71">
        <v>48</v>
      </c>
      <c r="D213" s="72" t="s">
        <v>271</v>
      </c>
      <c r="E213" s="73" t="s">
        <v>114</v>
      </c>
      <c r="F213" s="74">
        <f t="shared" si="18"/>
        <v>46566</v>
      </c>
      <c r="G213" s="73" t="s">
        <v>122</v>
      </c>
      <c r="K213" s="82" t="s">
        <v>284</v>
      </c>
      <c r="M213" s="82" t="s">
        <v>284</v>
      </c>
      <c r="O213" s="71" t="str">
        <f>VLOOKUP(A213,Hoja4!$A$2:$B$247,2,FALSE)</f>
        <v>JORGE ENRIQUE PORTELA CLEVES           </v>
      </c>
      <c r="Q213" s="73" t="s">
        <v>274</v>
      </c>
      <c r="BA213" s="75" t="s">
        <v>198</v>
      </c>
      <c r="BB213" s="75" t="str">
        <f t="shared" si="19"/>
        <v>ERICK RUIZ NOREÑA</v>
      </c>
      <c r="BE213" s="75" t="s">
        <v>200</v>
      </c>
      <c r="BF213" s="75" t="s">
        <v>214</v>
      </c>
      <c r="BK213" s="73" t="s">
        <v>388</v>
      </c>
      <c r="BL213" s="73" t="str">
        <v>COM INV FIS EMP ETI SST CUL DER</v>
      </c>
    </row>
    <row r="214" spans="1:64" x14ac:dyDescent="0.25">
      <c r="A214" s="70">
        <v>3336181</v>
      </c>
      <c r="B214" s="71" t="s">
        <v>245</v>
      </c>
      <c r="C214" s="71">
        <v>51</v>
      </c>
      <c r="D214" s="72" t="s">
        <v>271</v>
      </c>
      <c r="E214" s="73" t="s">
        <v>114</v>
      </c>
      <c r="F214" s="74">
        <f t="shared" si="18"/>
        <v>46566</v>
      </c>
      <c r="G214" s="73" t="s">
        <v>122</v>
      </c>
      <c r="K214" s="82" t="s">
        <v>285</v>
      </c>
      <c r="M214" s="82" t="s">
        <v>285</v>
      </c>
      <c r="O214" s="71" t="str">
        <f>VLOOKUP(A214,Hoja4!$A$2:$B$247,2,FALSE)</f>
        <v>JUAN CARLOS GUERRERO MALDONADO              </v>
      </c>
      <c r="Q214" s="73" t="s">
        <v>274</v>
      </c>
      <c r="BA214" s="75" t="s">
        <v>198</v>
      </c>
      <c r="BB214" s="75" t="str">
        <f t="shared" si="19"/>
        <v>CRISTINA CASTAÑO CASTILLO</v>
      </c>
      <c r="BK214" s="73" t="s">
        <v>388</v>
      </c>
      <c r="BL214" s="73" t="str">
        <v>MAT COM INV FIS EMP ETI SST CUL DER</v>
      </c>
    </row>
    <row r="215" spans="1:64" x14ac:dyDescent="0.25">
      <c r="A215" s="70">
        <v>3336182</v>
      </c>
      <c r="B215" s="71" t="s">
        <v>245</v>
      </c>
      <c r="C215" s="71">
        <v>47</v>
      </c>
      <c r="D215" s="72" t="s">
        <v>271</v>
      </c>
      <c r="E215" s="73" t="s">
        <v>114</v>
      </c>
      <c r="F215" s="74">
        <f t="shared" si="18"/>
        <v>46566</v>
      </c>
      <c r="G215" s="73" t="s">
        <v>122</v>
      </c>
      <c r="K215" s="82" t="s">
        <v>367</v>
      </c>
      <c r="M215" s="82" t="s">
        <v>367</v>
      </c>
      <c r="O215" s="71" t="str">
        <f>VLOOKUP(A215,Hoja4!$A$2:$B$247,2,FALSE)</f>
        <v xml:space="preserve">FERNANDO GONZALEZ GARCIA </v>
      </c>
      <c r="Q215" s="73" t="s">
        <v>274</v>
      </c>
      <c r="BA215" s="75" t="s">
        <v>198</v>
      </c>
      <c r="BB215" s="75" t="str">
        <f t="shared" si="19"/>
        <v>CRISTINA CASTAÑO CASTILLO</v>
      </c>
      <c r="BK215" s="73" t="s">
        <v>388</v>
      </c>
      <c r="BL215" s="73" t="str">
        <v>MAT COM INV FIS EMP ETI SST CUL DER</v>
      </c>
    </row>
    <row r="216" spans="1:64" x14ac:dyDescent="0.25">
      <c r="A216" s="70">
        <v>3336183</v>
      </c>
      <c r="B216" s="71" t="s">
        <v>245</v>
      </c>
      <c r="C216" s="71">
        <v>47</v>
      </c>
      <c r="D216" s="72" t="s">
        <v>271</v>
      </c>
      <c r="E216" s="73" t="s">
        <v>114</v>
      </c>
      <c r="F216" s="74">
        <f t="shared" si="18"/>
        <v>46566</v>
      </c>
      <c r="G216" s="73" t="s">
        <v>122</v>
      </c>
      <c r="K216" s="82" t="s">
        <v>285</v>
      </c>
      <c r="M216" s="82" t="s">
        <v>285</v>
      </c>
      <c r="O216" s="71" t="str">
        <f>VLOOKUP(A216,Hoja4!$A$2:$B$247,2,FALSE)</f>
        <v>EDICSON NIÑO AREVALO</v>
      </c>
      <c r="Q216" s="73" t="s">
        <v>274</v>
      </c>
      <c r="BA216" s="75" t="s">
        <v>198</v>
      </c>
      <c r="BB216" s="75" t="str">
        <f t="shared" si="19"/>
        <v>ANGELICA JANETH RODRIGUEZ ALONSO</v>
      </c>
      <c r="BK216" s="73" t="s">
        <v>388</v>
      </c>
      <c r="BL216" s="73" t="str">
        <v>MAT COM INV FIS EMP ETI SST CUL DER</v>
      </c>
    </row>
    <row r="217" spans="1:64" x14ac:dyDescent="0.25">
      <c r="A217" s="70">
        <v>3336184</v>
      </c>
      <c r="B217" s="71" t="s">
        <v>245</v>
      </c>
      <c r="C217" s="71">
        <v>48</v>
      </c>
      <c r="D217" s="72" t="s">
        <v>271</v>
      </c>
      <c r="E217" s="73" t="s">
        <v>114</v>
      </c>
      <c r="F217" s="74">
        <f t="shared" si="18"/>
        <v>46566</v>
      </c>
      <c r="G217" s="73" t="s">
        <v>122</v>
      </c>
      <c r="K217" s="82" t="s">
        <v>273</v>
      </c>
      <c r="M217" s="82" t="s">
        <v>273</v>
      </c>
      <c r="O217" s="71" t="str">
        <f>VLOOKUP(A217,Hoja4!$A$2:$B$247,2,FALSE)</f>
        <v>EDICSON NIÑO AREVALO</v>
      </c>
      <c r="Q217" s="73" t="s">
        <v>274</v>
      </c>
      <c r="BA217" s="75" t="s">
        <v>198</v>
      </c>
      <c r="BB217" s="75" t="str">
        <f t="shared" si="19"/>
        <v>SONIA PATRICIA CASTAÑEDA CAYCEDO</v>
      </c>
      <c r="BK217" s="73" t="s">
        <v>388</v>
      </c>
      <c r="BL217" s="73" t="str">
        <v>MAT COM INV FIS EMP ETI SST CUL DER</v>
      </c>
    </row>
    <row r="218" spans="1:64" x14ac:dyDescent="0.25">
      <c r="A218" s="70">
        <v>3336264</v>
      </c>
      <c r="B218" s="71" t="s">
        <v>245</v>
      </c>
      <c r="C218" s="71">
        <v>40</v>
      </c>
      <c r="D218" s="72" t="s">
        <v>392</v>
      </c>
      <c r="E218" s="73" t="s">
        <v>124</v>
      </c>
      <c r="F218" s="74">
        <f t="shared" si="18"/>
        <v>46566</v>
      </c>
      <c r="G218" s="73" t="s">
        <v>122</v>
      </c>
      <c r="K218" s="82" t="s">
        <v>393</v>
      </c>
      <c r="M218" s="82" t="s">
        <v>393</v>
      </c>
      <c r="O218" s="71" t="str">
        <f>VLOOKUP(A218,Hoja4!$A$2:$B$247,2,FALSE)</f>
        <v xml:space="preserve">VICTOR QUINTERO VALENCIA    </v>
      </c>
      <c r="Q218" s="73" t="s">
        <v>394</v>
      </c>
      <c r="BA218" s="75" t="s">
        <v>242</v>
      </c>
      <c r="BB218" s="75" t="str">
        <f t="shared" si="19"/>
        <v>LAURA SOFIA PAEZ GALLO</v>
      </c>
      <c r="BK218" s="73" t="s">
        <v>390</v>
      </c>
      <c r="BL218" s="73" t="str">
        <v>MAT COM TIC CUL SST INV ETI EMP DER</v>
      </c>
    </row>
    <row r="219" spans="1:64" x14ac:dyDescent="0.25">
      <c r="A219" s="70">
        <v>3336458</v>
      </c>
      <c r="B219" s="71" t="s">
        <v>245</v>
      </c>
      <c r="C219" s="71">
        <v>40</v>
      </c>
      <c r="D219" s="72" t="s">
        <v>101</v>
      </c>
      <c r="E219" s="73" t="s">
        <v>114</v>
      </c>
      <c r="F219" s="74">
        <f t="shared" si="18"/>
        <v>46566</v>
      </c>
      <c r="G219" s="73" t="s">
        <v>122</v>
      </c>
      <c r="K219" s="83" t="s">
        <v>403</v>
      </c>
      <c r="M219" s="83" t="s">
        <v>403</v>
      </c>
      <c r="O219" s="71" t="str">
        <f>VLOOKUP(A219,Hoja4!$A$2:$B$247,2,FALSE)</f>
        <v>MARTHA LILIANA SAAVEDRA VILLAMIZAR           </v>
      </c>
      <c r="Q219" s="73" t="s">
        <v>397</v>
      </c>
      <c r="BK219" s="73" t="s">
        <v>391</v>
      </c>
      <c r="BL219" s="73" t="str">
        <v>INV COM TIC MAT CIE DER ETI SST EMP CUL</v>
      </c>
    </row>
    <row r="220" spans="1:64" x14ac:dyDescent="0.25">
      <c r="A220" s="70">
        <v>3336459</v>
      </c>
      <c r="B220" s="71" t="s">
        <v>245</v>
      </c>
      <c r="C220" s="71">
        <v>47</v>
      </c>
      <c r="D220" s="72" t="s">
        <v>101</v>
      </c>
      <c r="E220" s="73" t="s">
        <v>114</v>
      </c>
      <c r="F220" s="74">
        <f t="shared" si="18"/>
        <v>46566</v>
      </c>
      <c r="G220" s="73" t="s">
        <v>122</v>
      </c>
      <c r="K220" s="82" t="s">
        <v>362</v>
      </c>
      <c r="M220" s="82" t="s">
        <v>362</v>
      </c>
      <c r="O220" s="71" t="str">
        <f>VLOOKUP(A220,Hoja4!$A$2:$B$247,2,FALSE)</f>
        <v xml:space="preserve">GRACIELA MARTINEZ JIMENEZ  </v>
      </c>
      <c r="Q220" s="73" t="s">
        <v>397</v>
      </c>
      <c r="BE220" s="75" t="s">
        <v>198</v>
      </c>
      <c r="BF220" s="75" t="s">
        <v>199</v>
      </c>
      <c r="BK220" s="73" t="s">
        <v>391</v>
      </c>
      <c r="BL220" s="73" t="str">
        <v>INV COM MAT CIE DER ETI SST EMP CUL</v>
      </c>
    </row>
    <row r="221" spans="1:64" x14ac:dyDescent="0.25">
      <c r="A221" s="70">
        <v>3336460</v>
      </c>
      <c r="B221" s="71" t="s">
        <v>245</v>
      </c>
      <c r="C221" s="71">
        <v>42</v>
      </c>
      <c r="D221" s="72" t="s">
        <v>101</v>
      </c>
      <c r="E221" s="73" t="s">
        <v>114</v>
      </c>
      <c r="F221" s="74">
        <f t="shared" si="18"/>
        <v>46566</v>
      </c>
      <c r="G221" s="73" t="s">
        <v>122</v>
      </c>
      <c r="K221" s="84" t="s">
        <v>404</v>
      </c>
      <c r="M221" s="84" t="s">
        <v>404</v>
      </c>
      <c r="O221" s="71" t="str">
        <f>VLOOKUP(A221,Hoja4!$A$2:$B$247,2,FALSE)</f>
        <v>MABEL PATRICIA GARCIA MURILLO</v>
      </c>
      <c r="Q221" s="73" t="s">
        <v>397</v>
      </c>
      <c r="BK221" s="73" t="s">
        <v>391</v>
      </c>
      <c r="BL221" s="73" t="str">
        <v>INV COM TIC MAT CIE DER ETI SST EMP CUL</v>
      </c>
    </row>
    <row r="222" spans="1:64" x14ac:dyDescent="0.25">
      <c r="A222" s="70">
        <v>3336461</v>
      </c>
      <c r="B222" s="71" t="s">
        <v>245</v>
      </c>
      <c r="C222" s="71">
        <v>47</v>
      </c>
      <c r="D222" s="72" t="s">
        <v>101</v>
      </c>
      <c r="E222" s="73" t="s">
        <v>114</v>
      </c>
      <c r="F222" s="74">
        <f t="shared" si="18"/>
        <v>46566</v>
      </c>
      <c r="G222" s="73" t="s">
        <v>122</v>
      </c>
      <c r="K222" s="82" t="s">
        <v>210</v>
      </c>
      <c r="M222" s="82" t="s">
        <v>210</v>
      </c>
      <c r="O222" s="71" t="str">
        <f>VLOOKUP(A222,Hoja4!$A$2:$B$247,2,FALSE)</f>
        <v>DARLING NATHALI GOMEZ OSPINA        </v>
      </c>
      <c r="Q222" s="73" t="s">
        <v>397</v>
      </c>
      <c r="BK222" s="73" t="s">
        <v>391</v>
      </c>
      <c r="BL222" s="73" t="str">
        <v>INV COM TIC MAT CIE DER ETI SST EMP CUL</v>
      </c>
    </row>
    <row r="223" spans="1:64" x14ac:dyDescent="0.25">
      <c r="A223" s="70">
        <v>3336462</v>
      </c>
      <c r="B223" s="71" t="s">
        <v>245</v>
      </c>
      <c r="C223" s="71">
        <v>50</v>
      </c>
      <c r="D223" s="72" t="s">
        <v>101</v>
      </c>
      <c r="E223" s="73" t="s">
        <v>114</v>
      </c>
      <c r="F223" s="74">
        <f t="shared" si="18"/>
        <v>46566</v>
      </c>
      <c r="G223" s="73" t="s">
        <v>122</v>
      </c>
      <c r="K223" s="82" t="s">
        <v>210</v>
      </c>
      <c r="M223" s="82" t="s">
        <v>210</v>
      </c>
      <c r="O223" s="71" t="str">
        <f>VLOOKUP(A223,Hoja4!$A$2:$B$247,2,FALSE)</f>
        <v>JESUS RENE  BUITRAGO PEDRAZA           </v>
      </c>
      <c r="Q223" s="73" t="s">
        <v>397</v>
      </c>
      <c r="BE223" s="75" t="s">
        <v>198</v>
      </c>
      <c r="BF223" s="75" t="s">
        <v>299</v>
      </c>
      <c r="BK223" s="73" t="s">
        <v>391</v>
      </c>
      <c r="BL223" s="73" t="str">
        <v>INV COM MAT CIE DER ETI SST EMP CUL</v>
      </c>
    </row>
    <row r="224" spans="1:64" x14ac:dyDescent="0.25">
      <c r="A224" s="70">
        <v>3336463</v>
      </c>
      <c r="B224" s="71" t="s">
        <v>245</v>
      </c>
      <c r="C224" s="71">
        <v>45</v>
      </c>
      <c r="D224" s="72" t="s">
        <v>101</v>
      </c>
      <c r="E224" s="73" t="s">
        <v>114</v>
      </c>
      <c r="F224" s="74">
        <f t="shared" si="18"/>
        <v>46566</v>
      </c>
      <c r="G224" s="73" t="s">
        <v>122</v>
      </c>
      <c r="K224" s="82" t="s">
        <v>362</v>
      </c>
      <c r="M224" s="82" t="s">
        <v>362</v>
      </c>
      <c r="O224" s="71" t="str">
        <f>VLOOKUP(A224,Hoja4!$A$2:$B$247,2,FALSE)</f>
        <v xml:space="preserve">GRACIELA MARTINEZ JIMENEZ  </v>
      </c>
      <c r="Q224" s="73" t="s">
        <v>397</v>
      </c>
      <c r="BE224" s="75" t="s">
        <v>198</v>
      </c>
      <c r="BF224" s="75" t="s">
        <v>299</v>
      </c>
      <c r="BK224" s="73" t="s">
        <v>391</v>
      </c>
      <c r="BL224" s="73" t="str">
        <v>INV COM MAT CIE DER ETI SST EMP CUL</v>
      </c>
    </row>
    <row r="225" spans="1:64" x14ac:dyDescent="0.25">
      <c r="A225" s="70">
        <v>3336464</v>
      </c>
      <c r="B225" s="71" t="s">
        <v>245</v>
      </c>
      <c r="C225" s="71">
        <v>49</v>
      </c>
      <c r="D225" s="72" t="s">
        <v>101</v>
      </c>
      <c r="E225" s="73" t="s">
        <v>114</v>
      </c>
      <c r="F225" s="74">
        <f t="shared" si="18"/>
        <v>46566</v>
      </c>
      <c r="G225" s="73" t="s">
        <v>122</v>
      </c>
      <c r="K225" s="82" t="s">
        <v>210</v>
      </c>
      <c r="M225" s="82" t="s">
        <v>210</v>
      </c>
      <c r="O225" s="71" t="str">
        <f>VLOOKUP(A225,Hoja4!$A$2:$B$247,2,FALSE)</f>
        <v>MARÍA PAOLA GIRALDO HERRERA</v>
      </c>
      <c r="Q225" s="73" t="s">
        <v>397</v>
      </c>
      <c r="BK225" s="73" t="s">
        <v>391</v>
      </c>
      <c r="BL225" s="73" t="str">
        <v>INV COM TIC MAT CIE DER ETI SST EMP CUL</v>
      </c>
    </row>
    <row r="226" spans="1:64" x14ac:dyDescent="0.25">
      <c r="A226" s="70">
        <v>3336465</v>
      </c>
      <c r="B226" s="71" t="s">
        <v>245</v>
      </c>
      <c r="C226" s="71">
        <v>40</v>
      </c>
      <c r="D226" s="72" t="s">
        <v>101</v>
      </c>
      <c r="E226" s="73" t="s">
        <v>114</v>
      </c>
      <c r="F226" s="74">
        <f t="shared" si="18"/>
        <v>46566</v>
      </c>
      <c r="G226" s="73" t="s">
        <v>122</v>
      </c>
      <c r="K226" s="83" t="s">
        <v>403</v>
      </c>
      <c r="M226" s="83" t="s">
        <v>403</v>
      </c>
      <c r="O226" s="71" t="str">
        <f>VLOOKUP(A226,Hoja4!$A$2:$B$247,2,FALSE)</f>
        <v>MARTHA LILIANA SAAVEDRA VILLAMIZAR           </v>
      </c>
      <c r="Q226" s="73" t="s">
        <v>397</v>
      </c>
      <c r="BK226" s="73" t="s">
        <v>391</v>
      </c>
      <c r="BL226" s="73" t="str">
        <v>INV COM TIC MAT CIE DER ETI SST EMP CUL</v>
      </c>
    </row>
    <row r="227" spans="1:64" x14ac:dyDescent="0.25">
      <c r="A227" s="70">
        <v>3336466</v>
      </c>
      <c r="B227" s="71" t="s">
        <v>245</v>
      </c>
      <c r="C227" s="71">
        <v>42</v>
      </c>
      <c r="D227" s="72" t="s">
        <v>101</v>
      </c>
      <c r="E227" s="73" t="s">
        <v>114</v>
      </c>
      <c r="F227" s="74">
        <f t="shared" si="18"/>
        <v>46566</v>
      </c>
      <c r="G227" s="73" t="s">
        <v>122</v>
      </c>
      <c r="K227" s="82" t="s">
        <v>306</v>
      </c>
      <c r="M227" s="82" t="s">
        <v>306</v>
      </c>
      <c r="O227" s="71" t="str">
        <f>VLOOKUP(A227,Hoja4!$A$2:$B$247,2,FALSE)</f>
        <v>LAURA VIVIANA MONTERO DURAN       </v>
      </c>
      <c r="Q227" s="73" t="s">
        <v>397</v>
      </c>
      <c r="BK227" s="73" t="s">
        <v>391</v>
      </c>
      <c r="BL227" s="73" t="str">
        <v>INV COM TIC MAT CIE DER ETI SST EMP CUL</v>
      </c>
    </row>
    <row r="228" spans="1:64" x14ac:dyDescent="0.25">
      <c r="A228" s="70">
        <v>3336467</v>
      </c>
      <c r="B228" s="71" t="s">
        <v>245</v>
      </c>
      <c r="C228" s="71">
        <v>37</v>
      </c>
      <c r="D228" s="72" t="s">
        <v>101</v>
      </c>
      <c r="E228" s="73" t="s">
        <v>114</v>
      </c>
      <c r="F228" s="74">
        <f t="shared" si="18"/>
        <v>46566</v>
      </c>
      <c r="G228" s="73" t="s">
        <v>122</v>
      </c>
      <c r="K228" s="82" t="s">
        <v>340</v>
      </c>
      <c r="M228" s="82" t="s">
        <v>340</v>
      </c>
      <c r="O228" s="71" t="str">
        <f>VLOOKUP(A228,Hoja4!$A$2:$B$247,2,FALSE)</f>
        <v>NIXA TATIANA OLAVE PEREZ      </v>
      </c>
      <c r="Q228" s="73" t="s">
        <v>397</v>
      </c>
      <c r="BE228" s="75" t="s">
        <v>200</v>
      </c>
      <c r="BF228" s="75" t="s">
        <v>214</v>
      </c>
      <c r="BK228" s="73" t="s">
        <v>391</v>
      </c>
      <c r="BL228" s="73" t="str">
        <v>INV COM TIC CIE DER ETI SST EMP CUL</v>
      </c>
    </row>
    <row r="229" spans="1:64" x14ac:dyDescent="0.25">
      <c r="A229" s="70">
        <v>3336468</v>
      </c>
      <c r="B229" s="71" t="s">
        <v>245</v>
      </c>
      <c r="C229" s="71">
        <v>51</v>
      </c>
      <c r="D229" s="72" t="s">
        <v>101</v>
      </c>
      <c r="E229" s="73" t="s">
        <v>114</v>
      </c>
      <c r="F229" s="74">
        <f t="shared" si="18"/>
        <v>46566</v>
      </c>
      <c r="G229" s="73" t="s">
        <v>122</v>
      </c>
      <c r="K229" s="84" t="s">
        <v>404</v>
      </c>
      <c r="M229" s="84" t="s">
        <v>404</v>
      </c>
      <c r="O229" s="71" t="str">
        <f>VLOOKUP(A229,Hoja4!$A$2:$B$247,2,FALSE)</f>
        <v>MABEL PATRICIA GARCIA MURILLO</v>
      </c>
      <c r="Q229" s="73" t="s">
        <v>397</v>
      </c>
      <c r="BK229" s="73" t="s">
        <v>391</v>
      </c>
      <c r="BL229" s="73" t="str">
        <v>INV COM TIC MAT CIE DER ETI SST EMP CUL</v>
      </c>
    </row>
    <row r="230" spans="1:64" x14ac:dyDescent="0.25">
      <c r="A230" s="70">
        <v>3336469</v>
      </c>
      <c r="B230" s="71" t="s">
        <v>245</v>
      </c>
      <c r="C230" s="71">
        <v>44</v>
      </c>
      <c r="D230" s="72" t="s">
        <v>101</v>
      </c>
      <c r="E230" s="73" t="s">
        <v>114</v>
      </c>
      <c r="F230" s="74">
        <f t="shared" si="18"/>
        <v>46566</v>
      </c>
      <c r="G230" s="73" t="s">
        <v>122</v>
      </c>
      <c r="K230" s="82" t="s">
        <v>340</v>
      </c>
      <c r="M230" s="82" t="s">
        <v>340</v>
      </c>
      <c r="O230" s="71" t="str">
        <f>VLOOKUP(A230,Hoja4!$A$2:$B$247,2,FALSE)</f>
        <v>NIXA TATIANA OLAVE PEREZ      </v>
      </c>
      <c r="Q230" s="73" t="s">
        <v>397</v>
      </c>
      <c r="BK230" s="73" t="s">
        <v>391</v>
      </c>
      <c r="BL230" s="73" t="str">
        <v>INV COM TIC MAT CIE DER ETI SST EMP CUL</v>
      </c>
    </row>
    <row r="231" spans="1:64" x14ac:dyDescent="0.25">
      <c r="A231" s="70">
        <v>3336470</v>
      </c>
      <c r="B231" s="71" t="s">
        <v>245</v>
      </c>
      <c r="C231" s="71">
        <v>45</v>
      </c>
      <c r="D231" s="72" t="s">
        <v>101</v>
      </c>
      <c r="E231" s="73" t="s">
        <v>114</v>
      </c>
      <c r="F231" s="74">
        <f t="shared" si="18"/>
        <v>46566</v>
      </c>
      <c r="G231" s="73" t="s">
        <v>122</v>
      </c>
      <c r="K231" s="83" t="s">
        <v>403</v>
      </c>
      <c r="M231" s="83" t="s">
        <v>403</v>
      </c>
      <c r="O231" s="71" t="str">
        <f>VLOOKUP(A231,Hoja4!$A$2:$B$247,2,FALSE)</f>
        <v>MARTHA LILIANA SAAVEDRA VILLAMIZAR           </v>
      </c>
      <c r="Q231" s="73" t="s">
        <v>397</v>
      </c>
      <c r="BK231" s="73" t="s">
        <v>391</v>
      </c>
      <c r="BL231" s="73" t="str">
        <v>INV COM TIC MAT CIE DER ETI SST EMP CUL</v>
      </c>
    </row>
    <row r="232" spans="1:64" x14ac:dyDescent="0.25">
      <c r="A232" s="70">
        <v>3388637</v>
      </c>
      <c r="B232" s="71" t="s">
        <v>245</v>
      </c>
      <c r="C232" s="71">
        <v>40</v>
      </c>
      <c r="D232" s="72" t="s">
        <v>123</v>
      </c>
      <c r="E232" s="73">
        <v>46365</v>
      </c>
      <c r="G232" s="73">
        <v>46820</v>
      </c>
      <c r="O232" s="71" t="str">
        <f>VLOOKUP(A232,Hoja4!$A$2:$B$247,2,FALSE)</f>
        <v>LUIS MIGUEL ANGARITA BUENAVENTURA           </v>
      </c>
      <c r="BK232" s="73" t="s">
        <v>391</v>
      </c>
      <c r="BL232" s="73" t="str">
        <v>INV COM TIC MAT CIE DER ETI SST EMP CUL</v>
      </c>
    </row>
    <row r="233" spans="1:64" x14ac:dyDescent="0.25">
      <c r="A233" s="70">
        <v>3388638</v>
      </c>
      <c r="B233" s="71" t="s">
        <v>245</v>
      </c>
      <c r="C233" s="71">
        <v>40</v>
      </c>
      <c r="D233" s="72" t="s">
        <v>123</v>
      </c>
      <c r="E233" s="73">
        <v>46365</v>
      </c>
      <c r="G233" s="73">
        <v>46820</v>
      </c>
      <c r="O233" s="71" t="str">
        <f>VLOOKUP(A233,Hoja4!$A$2:$B$247,2,FALSE)</f>
        <v>LUIS MIGUEL ANGARITA BUENAVENTURA           </v>
      </c>
      <c r="BK233" s="73" t="s">
        <v>391</v>
      </c>
      <c r="BL233" s="73" t="str">
        <v>INV COM TIC MAT CIE DER ETI SST EMP CUL</v>
      </c>
    </row>
    <row r="234" spans="1:64" x14ac:dyDescent="0.25">
      <c r="A234" s="70">
        <v>3388639</v>
      </c>
      <c r="B234" s="71" t="s">
        <v>245</v>
      </c>
      <c r="C234" s="71">
        <v>40</v>
      </c>
      <c r="D234" s="72" t="s">
        <v>123</v>
      </c>
      <c r="E234" s="73">
        <v>46365</v>
      </c>
      <c r="G234" s="73">
        <v>46820</v>
      </c>
      <c r="O234" s="71" t="str">
        <f>VLOOKUP(A234,Hoja4!$A$2:$B$247,2,FALSE)</f>
        <v>LUIS MIGUEL ANGARITA BUENAVENTURA           </v>
      </c>
      <c r="BK234" s="73" t="s">
        <v>391</v>
      </c>
      <c r="BL234" s="73" t="str">
        <v>INV COM TIC MAT CIE DER ETI SST EMP CUL</v>
      </c>
    </row>
    <row r="235" spans="1:64" x14ac:dyDescent="0.25">
      <c r="A235" s="70">
        <v>3388640</v>
      </c>
      <c r="B235" s="71" t="s">
        <v>245</v>
      </c>
      <c r="C235" s="71">
        <v>40</v>
      </c>
      <c r="D235" s="72" t="s">
        <v>123</v>
      </c>
      <c r="E235" s="73">
        <v>46365</v>
      </c>
      <c r="G235" s="73">
        <v>46820</v>
      </c>
      <c r="O235" s="71" t="str">
        <f>VLOOKUP(A235,Hoja4!$A$2:$B$247,2,FALSE)</f>
        <v xml:space="preserve">KEBIN  CUESTA RENTERIA            </v>
      </c>
      <c r="BK235" s="73" t="s">
        <v>391</v>
      </c>
      <c r="BL235" s="73" t="str">
        <v>INV COM TIC MAT CIE DER ETI SST EMP CUL</v>
      </c>
    </row>
    <row r="236" spans="1:64" x14ac:dyDescent="0.25">
      <c r="A236" s="70">
        <v>3388641</v>
      </c>
      <c r="B236" s="71" t="s">
        <v>245</v>
      </c>
      <c r="C236" s="71">
        <v>40</v>
      </c>
      <c r="D236" s="72" t="s">
        <v>123</v>
      </c>
      <c r="E236" s="73">
        <v>46365</v>
      </c>
      <c r="G236" s="73">
        <v>46820</v>
      </c>
      <c r="O236" s="71" t="str">
        <f>VLOOKUP(A236,Hoja4!$A$2:$B$247,2,FALSE)</f>
        <v xml:space="preserve">KEBIN  CUESTA RENTERIA            </v>
      </c>
      <c r="BK236" s="73" t="s">
        <v>391</v>
      </c>
      <c r="BL236" s="73" t="str">
        <v>INV COM TIC MAT CIE DER ETI SST EMP CUL</v>
      </c>
    </row>
    <row r="237" spans="1:64" x14ac:dyDescent="0.25">
      <c r="A237" s="70">
        <v>3388642</v>
      </c>
      <c r="B237" s="71" t="s">
        <v>245</v>
      </c>
      <c r="C237" s="71">
        <v>40</v>
      </c>
      <c r="D237" s="72" t="s">
        <v>123</v>
      </c>
      <c r="E237" s="73">
        <v>46365</v>
      </c>
      <c r="G237" s="73">
        <v>46820</v>
      </c>
      <c r="O237" s="71" t="str">
        <f>VLOOKUP(A237,Hoja4!$A$2:$B$247,2,FALSE)</f>
        <v xml:space="preserve">KEBIN  CUESTA RENTERIA            </v>
      </c>
      <c r="BK237" s="73" t="s">
        <v>391</v>
      </c>
      <c r="BL237" s="73" t="str">
        <v>INV COM TIC MAT CIE DER ETI SST EMP CUL</v>
      </c>
    </row>
    <row r="238" spans="1:64" x14ac:dyDescent="0.25">
      <c r="A238" s="70">
        <v>3388643</v>
      </c>
      <c r="B238" s="71" t="s">
        <v>245</v>
      </c>
      <c r="C238" s="71">
        <v>40</v>
      </c>
      <c r="D238" s="72" t="s">
        <v>123</v>
      </c>
      <c r="E238" s="73">
        <v>46365</v>
      </c>
      <c r="G238" s="73">
        <v>46820</v>
      </c>
      <c r="O238" s="71" t="str">
        <f>VLOOKUP(A238,Hoja4!$A$2:$B$247,2,FALSE)</f>
        <v xml:space="preserve">KEBIN  CUESTA RENTERIA            </v>
      </c>
      <c r="BK238" s="73" t="s">
        <v>391</v>
      </c>
      <c r="BL238" s="73" t="str">
        <v>INV COM TIC MAT CIE DER ETI SST EMP CUL</v>
      </c>
    </row>
    <row r="239" spans="1:64" x14ac:dyDescent="0.25">
      <c r="A239" s="70">
        <v>3388644</v>
      </c>
      <c r="B239" s="71" t="s">
        <v>245</v>
      </c>
      <c r="C239" s="71">
        <v>40</v>
      </c>
      <c r="D239" s="72" t="s">
        <v>123</v>
      </c>
      <c r="E239" s="73">
        <v>46365</v>
      </c>
      <c r="G239" s="73">
        <v>46820</v>
      </c>
      <c r="O239" s="71" t="str">
        <f>VLOOKUP(A239,Hoja4!$A$2:$B$247,2,FALSE)</f>
        <v xml:space="preserve">KEBIN  CUESTA RENTERIA            </v>
      </c>
      <c r="BK239" s="73" t="s">
        <v>391</v>
      </c>
      <c r="BL239" s="73" t="str">
        <v>INV COM TIC MAT CIE DER ETI SST EMP CUL</v>
      </c>
    </row>
    <row r="240" spans="1:64" x14ac:dyDescent="0.25">
      <c r="A240" s="70">
        <v>3388645</v>
      </c>
      <c r="B240" s="71" t="s">
        <v>245</v>
      </c>
      <c r="C240" s="71">
        <v>40</v>
      </c>
      <c r="D240" s="72" t="s">
        <v>123</v>
      </c>
      <c r="E240" s="73">
        <v>46365</v>
      </c>
      <c r="G240" s="73">
        <v>46820</v>
      </c>
      <c r="O240" s="71" t="str">
        <f>VLOOKUP(A240,Hoja4!$A$2:$B$247,2,FALSE)</f>
        <v xml:space="preserve">KEBIN  CUESTA RENTERIA            </v>
      </c>
      <c r="BK240" s="73" t="s">
        <v>391</v>
      </c>
      <c r="BL240" s="73" t="str">
        <v>INV COM TIC MAT CIE DER ETI SST EMP CUL</v>
      </c>
    </row>
    <row r="241" spans="1:64" x14ac:dyDescent="0.25">
      <c r="A241" s="70">
        <v>3388646</v>
      </c>
      <c r="B241" s="71" t="s">
        <v>245</v>
      </c>
      <c r="C241" s="71">
        <v>40</v>
      </c>
      <c r="D241" s="72" t="s">
        <v>123</v>
      </c>
      <c r="E241" s="73">
        <v>46365</v>
      </c>
      <c r="G241" s="73">
        <v>46820</v>
      </c>
      <c r="O241" s="71" t="str">
        <f>VLOOKUP(A241,Hoja4!$A$2:$B$247,2,FALSE)</f>
        <v>LIDA ASTRID MEJIA GONZALEZ </v>
      </c>
      <c r="BK241" s="73" t="s">
        <v>391</v>
      </c>
      <c r="BL241" s="73" t="str">
        <v>INV COM TIC MAT CIE DER ETI SST EMP CUL</v>
      </c>
    </row>
    <row r="242" spans="1:64" x14ac:dyDescent="0.25">
      <c r="A242" s="70">
        <v>3388647</v>
      </c>
      <c r="B242" s="71" t="s">
        <v>245</v>
      </c>
      <c r="C242" s="71">
        <v>40</v>
      </c>
      <c r="D242" s="72" t="s">
        <v>123</v>
      </c>
      <c r="E242" s="73">
        <v>46365</v>
      </c>
      <c r="G242" s="73">
        <v>46820</v>
      </c>
      <c r="O242" s="71" t="str">
        <f>VLOOKUP(A242,Hoja4!$A$2:$B$247,2,FALSE)</f>
        <v>LIDA ASTRID MEJIA GONZALEZ </v>
      </c>
      <c r="BK242" s="73" t="s">
        <v>391</v>
      </c>
      <c r="BL242" s="73" t="str">
        <v>INV COM TIC MAT CIE DER ETI SST EMP CUL</v>
      </c>
    </row>
    <row r="243" spans="1:64" x14ac:dyDescent="0.25">
      <c r="A243" s="70">
        <v>3388648</v>
      </c>
      <c r="B243" s="71" t="s">
        <v>245</v>
      </c>
      <c r="C243" s="71">
        <v>40</v>
      </c>
      <c r="D243" s="72" t="s">
        <v>123</v>
      </c>
      <c r="E243" s="73">
        <v>46365</v>
      </c>
      <c r="G243" s="73">
        <v>46820</v>
      </c>
      <c r="O243" s="71" t="str">
        <f>VLOOKUP(A243,Hoja4!$A$2:$B$247,2,FALSE)</f>
        <v>FRANKELI RODRIGUEZ VELASCO</v>
      </c>
      <c r="BK243" s="73" t="s">
        <v>391</v>
      </c>
      <c r="BL243" s="73" t="str">
        <v>INV COM TIC MAT CIE DER ETI SST EMP CUL</v>
      </c>
    </row>
    <row r="244" spans="1:64" x14ac:dyDescent="0.25">
      <c r="A244" s="70">
        <v>3388649</v>
      </c>
      <c r="B244" s="71" t="s">
        <v>245</v>
      </c>
      <c r="C244" s="71">
        <v>40</v>
      </c>
      <c r="D244" s="72" t="s">
        <v>123</v>
      </c>
      <c r="E244" s="73">
        <v>46365</v>
      </c>
      <c r="G244" s="73">
        <v>46820</v>
      </c>
      <c r="O244" s="71" t="str">
        <f>VLOOKUP(A244,Hoja4!$A$2:$B$247,2,FALSE)</f>
        <v>RAÚL VEGA URRIAGO</v>
      </c>
      <c r="BK244" s="73" t="s">
        <v>391</v>
      </c>
      <c r="BL244" s="73" t="str">
        <v>INV COM TIC MAT CIE DER ETI SST EMP CUL</v>
      </c>
    </row>
    <row r="245" spans="1:64" x14ac:dyDescent="0.25">
      <c r="A245" s="70">
        <v>3388650</v>
      </c>
      <c r="B245" s="71" t="s">
        <v>245</v>
      </c>
      <c r="C245" s="71">
        <v>40</v>
      </c>
      <c r="D245" s="72" t="s">
        <v>123</v>
      </c>
      <c r="E245" s="73">
        <v>46365</v>
      </c>
      <c r="G245" s="73">
        <v>46820</v>
      </c>
      <c r="O245" s="71" t="str">
        <f>VLOOKUP(A245,Hoja4!$A$2:$B$247,2,FALSE)</f>
        <v>FRANKELI RODRIGUEZ VELASCO</v>
      </c>
      <c r="BK245" s="73" t="s">
        <v>391</v>
      </c>
      <c r="BL245" s="73" t="str">
        <v>INV COM TIC MAT CIE DER ETI SST EMP CUL</v>
      </c>
    </row>
    <row r="246" spans="1:64" x14ac:dyDescent="0.25">
      <c r="A246" s="70">
        <v>3388651</v>
      </c>
      <c r="B246" s="71" t="s">
        <v>245</v>
      </c>
      <c r="C246" s="71">
        <v>40</v>
      </c>
      <c r="D246" s="72" t="s">
        <v>123</v>
      </c>
      <c r="E246" s="73">
        <v>46365</v>
      </c>
      <c r="G246" s="73">
        <v>46820</v>
      </c>
      <c r="O246" s="71" t="str">
        <f>VLOOKUP(A246,Hoja4!$A$2:$B$247,2,FALSE)</f>
        <v>FRANKELI RODRIGUEZ VELASCO</v>
      </c>
      <c r="BK246" s="73" t="s">
        <v>391</v>
      </c>
      <c r="BL246" s="73" t="str">
        <v>INV COM TIC MAT CIE DER ETI SST EMP CUL</v>
      </c>
    </row>
    <row r="247" spans="1:64" x14ac:dyDescent="0.25">
      <c r="A247" s="70">
        <v>3388652</v>
      </c>
      <c r="B247" s="71" t="s">
        <v>245</v>
      </c>
      <c r="C247" s="71">
        <v>40</v>
      </c>
      <c r="D247" s="72" t="s">
        <v>123</v>
      </c>
      <c r="E247" s="73">
        <v>46365</v>
      </c>
      <c r="G247" s="73">
        <v>46820</v>
      </c>
      <c r="O247" s="71" t="str">
        <f>VLOOKUP(A247,Hoja4!$A$2:$B$247,2,FALSE)</f>
        <v>YERSON ALVEIRO DUARTE VELASCO   </v>
      </c>
      <c r="BK247" s="73" t="s">
        <v>391</v>
      </c>
      <c r="BL247" s="73" t="str">
        <v>INV COM TIC MAT CIE DER ETI SST EMP CUL</v>
      </c>
    </row>
    <row r="248" spans="1:64" x14ac:dyDescent="0.25">
      <c r="A248" s="70">
        <v>3388653</v>
      </c>
      <c r="B248" s="71" t="s">
        <v>245</v>
      </c>
      <c r="C248" s="71">
        <v>40</v>
      </c>
      <c r="D248" s="72" t="s">
        <v>123</v>
      </c>
      <c r="E248" s="73">
        <v>46365</v>
      </c>
      <c r="G248" s="73">
        <v>46820</v>
      </c>
      <c r="O248" s="71" t="str">
        <f>VLOOKUP(A248,Hoja4!$A$2:$B$247,2,FALSE)</f>
        <v>YERSON ALVEIRO DUARTE VELASCO   </v>
      </c>
      <c r="BK248" s="73" t="s">
        <v>391</v>
      </c>
      <c r="BL248" s="73" t="str">
        <v>INV COM TIC MAT CIE DER ETI SST EMP CUL</v>
      </c>
    </row>
    <row r="249" spans="1:64" x14ac:dyDescent="0.25">
      <c r="A249" s="70">
        <v>3388654</v>
      </c>
      <c r="B249" s="71" t="s">
        <v>245</v>
      </c>
      <c r="C249" s="71">
        <v>40</v>
      </c>
      <c r="D249" s="72" t="s">
        <v>123</v>
      </c>
      <c r="E249" s="73">
        <v>46365</v>
      </c>
      <c r="G249" s="73">
        <v>46820</v>
      </c>
      <c r="O249" s="71" t="str">
        <f>VLOOKUP(A249,Hoja4!$A$2:$B$247,2,FALSE)</f>
        <v>YERSON ALVEIRO DUARTE VELASCO   </v>
      </c>
      <c r="BK249" s="73" t="s">
        <v>391</v>
      </c>
      <c r="BL249" s="73" t="str">
        <v>INV COM TIC MAT CIE DER ETI SST EMP CUL</v>
      </c>
    </row>
    <row r="250" spans="1:64" x14ac:dyDescent="0.25">
      <c r="A250" s="70">
        <v>3388655</v>
      </c>
      <c r="B250" s="71" t="s">
        <v>245</v>
      </c>
      <c r="C250" s="71">
        <v>40</v>
      </c>
      <c r="D250" s="72" t="s">
        <v>123</v>
      </c>
      <c r="E250" s="73">
        <v>46365</v>
      </c>
      <c r="G250" s="73">
        <v>46820</v>
      </c>
      <c r="O250" s="71" t="str">
        <f>VLOOKUP(A250,Hoja4!$A$2:$B$247,2,FALSE)</f>
        <v>RAÚL VEGA URRIAGO</v>
      </c>
      <c r="BK250" s="73" t="s">
        <v>391</v>
      </c>
      <c r="BL250" s="73" t="str">
        <v>INV COM TIC MAT CIE DER ETI SST EMP CUL</v>
      </c>
    </row>
    <row r="251" spans="1:64" x14ac:dyDescent="0.25">
      <c r="A251" s="70">
        <v>3388656</v>
      </c>
      <c r="B251" s="71" t="s">
        <v>245</v>
      </c>
      <c r="C251" s="71">
        <v>40</v>
      </c>
      <c r="D251" s="72" t="s">
        <v>123</v>
      </c>
      <c r="E251" s="73">
        <v>46365</v>
      </c>
      <c r="G251" s="73">
        <v>46820</v>
      </c>
      <c r="O251" s="71" t="str">
        <f>VLOOKUP(A251,Hoja4!$A$2:$B$247,2,FALSE)</f>
        <v>RAÚL VEGA URRIAGO</v>
      </c>
      <c r="BK251" s="73" t="s">
        <v>391</v>
      </c>
      <c r="BL251" s="73" t="str">
        <v>INV COM TIC MAT CIE DER ETI SST EMP CUL</v>
      </c>
    </row>
    <row r="252" spans="1:64" x14ac:dyDescent="0.25">
      <c r="A252" s="70">
        <v>3388657</v>
      </c>
      <c r="B252" s="71" t="s">
        <v>245</v>
      </c>
      <c r="C252" s="71">
        <v>40</v>
      </c>
      <c r="D252" s="72" t="s">
        <v>123</v>
      </c>
      <c r="E252" s="73">
        <v>46365</v>
      </c>
      <c r="G252" s="73">
        <v>46820</v>
      </c>
      <c r="O252" s="71" t="str">
        <f>VLOOKUP(A252,Hoja4!$A$2:$B$247,2,FALSE)</f>
        <v>RAÚL VEGA URRIAGO</v>
      </c>
      <c r="BK252" s="73" t="s">
        <v>391</v>
      </c>
      <c r="BL252" s="73" t="str">
        <v>INV COM TIC MAT CIE DER ETI SST EMP CUL</v>
      </c>
    </row>
    <row r="253" spans="1:64" x14ac:dyDescent="0.25">
      <c r="A253" s="70">
        <v>3388658</v>
      </c>
      <c r="B253" s="71" t="s">
        <v>245</v>
      </c>
      <c r="C253" s="71">
        <v>40</v>
      </c>
      <c r="D253" s="72" t="s">
        <v>123</v>
      </c>
      <c r="E253" s="73">
        <v>46365</v>
      </c>
      <c r="G253" s="73">
        <v>46820</v>
      </c>
      <c r="O253" s="71" t="str">
        <f>VLOOKUP(A253,Hoja4!$A$2:$B$247,2,FALSE)</f>
        <v>FRANKELI RODRIGUEZ VELASCO</v>
      </c>
      <c r="BK253" s="73" t="s">
        <v>391</v>
      </c>
      <c r="BL253" s="73" t="str">
        <v>INV COM TIC MAT CIE DER ETI SST EMP CUL</v>
      </c>
    </row>
    <row r="254" spans="1:64" x14ac:dyDescent="0.25">
      <c r="A254" s="70">
        <v>3388659</v>
      </c>
      <c r="B254" s="71" t="s">
        <v>245</v>
      </c>
      <c r="C254" s="71">
        <v>40</v>
      </c>
      <c r="D254" s="72" t="s">
        <v>123</v>
      </c>
      <c r="E254" s="73">
        <v>46365</v>
      </c>
      <c r="G254" s="73">
        <v>46820</v>
      </c>
      <c r="O254" s="71" t="str">
        <f>VLOOKUP(A254,Hoja4!$A$2:$B$247,2,FALSE)</f>
        <v>FRANKELI RODRIGUEZ VELASCO</v>
      </c>
      <c r="BK254" s="73" t="s">
        <v>391</v>
      </c>
      <c r="BL254" s="73" t="str">
        <v>INV COM TIC MAT CIE DER ETI SST EMP CUL</v>
      </c>
    </row>
    <row r="255" spans="1:64" x14ac:dyDescent="0.25">
      <c r="A255" s="70">
        <v>3356110</v>
      </c>
      <c r="B255" s="71" t="s">
        <v>125</v>
      </c>
      <c r="C255" s="71">
        <v>40</v>
      </c>
      <c r="D255" s="72" t="s">
        <v>87</v>
      </c>
      <c r="E255" s="73" t="s">
        <v>126</v>
      </c>
      <c r="F255" s="73" t="s">
        <v>127</v>
      </c>
      <c r="G255" s="73" t="s">
        <v>405</v>
      </c>
      <c r="O255" s="71" t="str">
        <f>VLOOKUP(A255,Hoja4!$A$2:$B$247,2,FALSE)</f>
        <v>LIGIA MUÑOZ LINARES</v>
      </c>
      <c r="BK255" s="73" t="s">
        <v>391</v>
      </c>
      <c r="BL255" s="73" t="str">
        <v>INV COM TIC MAT CIE DER ETI SST EMP CUL</v>
      </c>
    </row>
    <row r="256" spans="1:64" x14ac:dyDescent="0.25">
      <c r="A256" s="70">
        <v>3356112</v>
      </c>
      <c r="B256" s="71" t="s">
        <v>125</v>
      </c>
      <c r="C256" s="71">
        <v>40</v>
      </c>
      <c r="D256" s="72" t="s">
        <v>87</v>
      </c>
      <c r="E256" s="73" t="s">
        <v>406</v>
      </c>
      <c r="F256" s="73" t="s">
        <v>127</v>
      </c>
      <c r="G256" s="73" t="s">
        <v>405</v>
      </c>
      <c r="O256" s="71" t="str">
        <f>VLOOKUP(A256,Hoja4!$A$2:$B$247,2,FALSE)</f>
        <v>LIGIA MUÑOZ LINARES</v>
      </c>
      <c r="BK256" s="73" t="s">
        <v>391</v>
      </c>
      <c r="BL256" s="73" t="str">
        <v>INV COM TIC MAT CIE DER ETI SST EMP CUL</v>
      </c>
    </row>
    <row r="257" spans="64:64" x14ac:dyDescent="0.25">
      <c r="BL257" s="73"/>
    </row>
    <row r="258" spans="64:64" x14ac:dyDescent="0.25">
      <c r="BL258" s="7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E40F-607F-4313-9961-49068D1731E9}">
  <sheetPr filterMode="1"/>
  <dimension ref="A1:G353"/>
  <sheetViews>
    <sheetView workbookViewId="0">
      <selection activeCell="B59" sqref="B59"/>
    </sheetView>
  </sheetViews>
  <sheetFormatPr baseColWidth="10" defaultRowHeight="15" x14ac:dyDescent="0.25"/>
  <cols>
    <col min="4" max="4" width="11.42578125" style="55"/>
    <col min="6" max="6" width="11.42578125" style="55"/>
  </cols>
  <sheetData>
    <row r="1" spans="1:7" x14ac:dyDescent="0.25">
      <c r="A1" s="51" t="s">
        <v>3</v>
      </c>
      <c r="B1" s="52" t="s">
        <v>128</v>
      </c>
      <c r="C1" s="53" t="s">
        <v>129</v>
      </c>
      <c r="D1" s="54" t="s">
        <v>130</v>
      </c>
      <c r="E1" s="52" t="s">
        <v>131</v>
      </c>
      <c r="F1" s="54" t="s">
        <v>132</v>
      </c>
      <c r="G1" t="s">
        <v>137</v>
      </c>
    </row>
    <row r="2" spans="1:7" x14ac:dyDescent="0.25">
      <c r="A2">
        <v>3059562</v>
      </c>
      <c r="B2" t="s">
        <v>125</v>
      </c>
      <c r="C2" t="s">
        <v>93</v>
      </c>
      <c r="D2" s="55" t="s">
        <v>147</v>
      </c>
      <c r="E2" s="66">
        <v>45812</v>
      </c>
      <c r="F2" s="55" t="s">
        <v>160</v>
      </c>
      <c r="G2" t="s">
        <v>174</v>
      </c>
    </row>
    <row r="3" spans="1:7" x14ac:dyDescent="0.25">
      <c r="A3">
        <v>3041902</v>
      </c>
      <c r="B3" t="s">
        <v>125</v>
      </c>
      <c r="C3" t="s">
        <v>91</v>
      </c>
      <c r="D3" s="55" t="s">
        <v>151</v>
      </c>
      <c r="E3" s="66">
        <v>45627</v>
      </c>
      <c r="F3" s="55" t="s">
        <v>165</v>
      </c>
      <c r="G3" t="s">
        <v>174</v>
      </c>
    </row>
    <row r="4" spans="1:7" hidden="1" x14ac:dyDescent="0.25">
      <c r="A4">
        <v>3356112</v>
      </c>
      <c r="B4" t="s">
        <v>125</v>
      </c>
      <c r="C4" t="s">
        <v>87</v>
      </c>
      <c r="D4" s="55" t="s">
        <v>126</v>
      </c>
      <c r="E4" s="66" t="s">
        <v>127</v>
      </c>
      <c r="F4" s="55" t="s">
        <v>127</v>
      </c>
      <c r="G4" t="s">
        <v>175</v>
      </c>
    </row>
    <row r="5" spans="1:7" hidden="1" x14ac:dyDescent="0.25">
      <c r="A5">
        <v>3336459</v>
      </c>
      <c r="B5" t="s">
        <v>138</v>
      </c>
      <c r="C5" t="s">
        <v>101</v>
      </c>
      <c r="D5" s="55" t="s">
        <v>114</v>
      </c>
      <c r="E5" s="66">
        <v>46566</v>
      </c>
      <c r="F5" s="55" t="s">
        <v>122</v>
      </c>
      <c r="G5" t="s">
        <v>175</v>
      </c>
    </row>
    <row r="6" spans="1:7" hidden="1" x14ac:dyDescent="0.25">
      <c r="A6">
        <v>3336465</v>
      </c>
      <c r="B6" t="s">
        <v>138</v>
      </c>
      <c r="C6" t="s">
        <v>101</v>
      </c>
      <c r="D6" s="55" t="s">
        <v>114</v>
      </c>
      <c r="E6" s="66">
        <v>46566</v>
      </c>
      <c r="F6" s="55" t="s">
        <v>122</v>
      </c>
      <c r="G6" t="s">
        <v>175</v>
      </c>
    </row>
    <row r="7" spans="1:7" hidden="1" x14ac:dyDescent="0.25">
      <c r="A7">
        <v>3336462</v>
      </c>
      <c r="B7" t="s">
        <v>138</v>
      </c>
      <c r="C7" t="s">
        <v>101</v>
      </c>
      <c r="D7" s="55" t="s">
        <v>114</v>
      </c>
      <c r="E7" s="66">
        <v>46566</v>
      </c>
      <c r="F7" s="55" t="s">
        <v>122</v>
      </c>
      <c r="G7" t="s">
        <v>175</v>
      </c>
    </row>
    <row r="8" spans="1:7" hidden="1" x14ac:dyDescent="0.25">
      <c r="A8">
        <v>3106275</v>
      </c>
      <c r="B8" t="s">
        <v>125</v>
      </c>
      <c r="C8" t="s">
        <v>93</v>
      </c>
      <c r="D8" s="55" t="s">
        <v>146</v>
      </c>
      <c r="E8" s="66">
        <v>45904</v>
      </c>
      <c r="F8" s="55" t="s">
        <v>159</v>
      </c>
      <c r="G8" t="s">
        <v>175</v>
      </c>
    </row>
    <row r="9" spans="1:7" hidden="1" x14ac:dyDescent="0.25">
      <c r="A9">
        <v>3118374</v>
      </c>
      <c r="B9" t="s">
        <v>138</v>
      </c>
      <c r="C9" t="s">
        <v>101</v>
      </c>
      <c r="D9" s="55" t="s">
        <v>116</v>
      </c>
      <c r="E9" s="66">
        <v>46251</v>
      </c>
      <c r="F9" s="55" t="s">
        <v>117</v>
      </c>
      <c r="G9" t="s">
        <v>175</v>
      </c>
    </row>
    <row r="10" spans="1:7" hidden="1" x14ac:dyDescent="0.25">
      <c r="A10">
        <v>3297708</v>
      </c>
      <c r="B10" t="s">
        <v>125</v>
      </c>
      <c r="C10" t="s">
        <v>87</v>
      </c>
      <c r="D10" s="55" t="s">
        <v>110</v>
      </c>
      <c r="E10" s="66">
        <v>46197</v>
      </c>
      <c r="F10" s="55" t="s">
        <v>111</v>
      </c>
      <c r="G10" t="s">
        <v>175</v>
      </c>
    </row>
    <row r="11" spans="1:7" hidden="1" x14ac:dyDescent="0.25">
      <c r="A11">
        <v>3356110</v>
      </c>
      <c r="B11" t="s">
        <v>125</v>
      </c>
      <c r="C11" t="s">
        <v>87</v>
      </c>
      <c r="D11" s="55" t="s">
        <v>126</v>
      </c>
      <c r="E11" s="66" t="s">
        <v>127</v>
      </c>
      <c r="F11" s="55" t="s">
        <v>127</v>
      </c>
      <c r="G11" t="s">
        <v>175</v>
      </c>
    </row>
    <row r="12" spans="1:7" hidden="1" x14ac:dyDescent="0.25">
      <c r="A12">
        <v>3334496</v>
      </c>
      <c r="B12" t="s">
        <v>125</v>
      </c>
      <c r="C12" t="s">
        <v>87</v>
      </c>
      <c r="D12" s="55" t="s">
        <v>112</v>
      </c>
      <c r="E12" s="66">
        <v>46197</v>
      </c>
      <c r="F12" s="55" t="s">
        <v>113</v>
      </c>
      <c r="G12" t="s">
        <v>175</v>
      </c>
    </row>
    <row r="13" spans="1:7" x14ac:dyDescent="0.25">
      <c r="A13">
        <v>3167877</v>
      </c>
      <c r="B13" t="s">
        <v>125</v>
      </c>
      <c r="C13" t="s">
        <v>93</v>
      </c>
      <c r="D13" s="55" t="s">
        <v>94</v>
      </c>
      <c r="E13" s="66">
        <v>46022</v>
      </c>
      <c r="F13" s="55" t="s">
        <v>95</v>
      </c>
      <c r="G13" t="s">
        <v>174</v>
      </c>
    </row>
    <row r="14" spans="1:7" x14ac:dyDescent="0.25">
      <c r="A14">
        <v>3167875</v>
      </c>
      <c r="B14" t="s">
        <v>125</v>
      </c>
      <c r="C14" t="s">
        <v>93</v>
      </c>
      <c r="D14" s="55" t="s">
        <v>94</v>
      </c>
      <c r="E14" s="66">
        <v>46022</v>
      </c>
      <c r="F14" s="55" t="s">
        <v>95</v>
      </c>
      <c r="G14" t="s">
        <v>174</v>
      </c>
    </row>
    <row r="15" spans="1:7" x14ac:dyDescent="0.25">
      <c r="A15">
        <v>3013169</v>
      </c>
      <c r="B15" t="s">
        <v>125</v>
      </c>
      <c r="C15" t="s">
        <v>93</v>
      </c>
      <c r="D15" s="55" t="s">
        <v>149</v>
      </c>
      <c r="E15" s="66">
        <v>45748</v>
      </c>
      <c r="F15" s="55" t="s">
        <v>162</v>
      </c>
      <c r="G15" t="s">
        <v>174</v>
      </c>
    </row>
    <row r="16" spans="1:7" x14ac:dyDescent="0.25">
      <c r="A16">
        <v>2864589</v>
      </c>
      <c r="B16" t="s">
        <v>125</v>
      </c>
      <c r="C16" t="s">
        <v>87</v>
      </c>
      <c r="D16" s="55" t="s">
        <v>148</v>
      </c>
      <c r="E16" s="66">
        <v>45496</v>
      </c>
      <c r="F16" s="55" t="s">
        <v>161</v>
      </c>
      <c r="G16" t="s">
        <v>174</v>
      </c>
    </row>
    <row r="17" spans="1:7" hidden="1" x14ac:dyDescent="0.25">
      <c r="A17">
        <v>3070316</v>
      </c>
      <c r="B17" t="s">
        <v>138</v>
      </c>
      <c r="C17" t="s">
        <v>140</v>
      </c>
      <c r="D17" s="55" t="s">
        <v>108</v>
      </c>
      <c r="E17" s="66">
        <v>46188</v>
      </c>
      <c r="F17" s="55" t="s">
        <v>109</v>
      </c>
      <c r="G17" t="s">
        <v>175</v>
      </c>
    </row>
    <row r="18" spans="1:7" x14ac:dyDescent="0.25">
      <c r="A18">
        <v>2989236</v>
      </c>
      <c r="B18" t="s">
        <v>125</v>
      </c>
      <c r="C18" t="s">
        <v>93</v>
      </c>
      <c r="D18" s="55" t="s">
        <v>150</v>
      </c>
      <c r="E18" s="66">
        <v>45714</v>
      </c>
      <c r="F18" s="55" t="s">
        <v>163</v>
      </c>
      <c r="G18" t="s">
        <v>174</v>
      </c>
    </row>
    <row r="19" spans="1:7" hidden="1" x14ac:dyDescent="0.25">
      <c r="A19">
        <v>3070358</v>
      </c>
      <c r="B19" t="s">
        <v>138</v>
      </c>
      <c r="C19" t="s">
        <v>100</v>
      </c>
      <c r="D19" s="55" t="s">
        <v>108</v>
      </c>
      <c r="E19" s="66">
        <v>46188</v>
      </c>
      <c r="F19" s="55" t="s">
        <v>109</v>
      </c>
      <c r="G19" t="s">
        <v>175</v>
      </c>
    </row>
    <row r="20" spans="1:7" hidden="1" x14ac:dyDescent="0.25">
      <c r="A20">
        <v>3287439</v>
      </c>
      <c r="B20" t="s">
        <v>125</v>
      </c>
      <c r="C20" t="s">
        <v>92</v>
      </c>
      <c r="D20" s="55" t="s">
        <v>106</v>
      </c>
      <c r="E20" s="66">
        <v>46140</v>
      </c>
      <c r="F20" s="55" t="s">
        <v>107</v>
      </c>
      <c r="G20" t="s">
        <v>175</v>
      </c>
    </row>
    <row r="21" spans="1:7" hidden="1" x14ac:dyDescent="0.25">
      <c r="A21">
        <v>2995652</v>
      </c>
      <c r="B21" t="s">
        <v>138</v>
      </c>
      <c r="C21" t="s">
        <v>101</v>
      </c>
      <c r="D21" s="55" t="s">
        <v>104</v>
      </c>
      <c r="E21" s="66">
        <v>46084</v>
      </c>
      <c r="F21" s="55" t="s">
        <v>105</v>
      </c>
      <c r="G21" t="s">
        <v>175</v>
      </c>
    </row>
    <row r="22" spans="1:7" hidden="1" x14ac:dyDescent="0.25">
      <c r="A22">
        <v>3070313</v>
      </c>
      <c r="B22" t="s">
        <v>138</v>
      </c>
      <c r="C22" t="s">
        <v>140</v>
      </c>
      <c r="D22" s="55" t="s">
        <v>108</v>
      </c>
      <c r="E22" s="66">
        <v>46188</v>
      </c>
      <c r="F22" s="55" t="s">
        <v>109</v>
      </c>
      <c r="G22" t="s">
        <v>175</v>
      </c>
    </row>
    <row r="23" spans="1:7" x14ac:dyDescent="0.25">
      <c r="A23">
        <v>3019786</v>
      </c>
      <c r="B23" t="s">
        <v>125</v>
      </c>
      <c r="C23" t="s">
        <v>139</v>
      </c>
      <c r="D23" s="55" t="s">
        <v>143</v>
      </c>
      <c r="E23" s="66">
        <v>45567</v>
      </c>
      <c r="F23" s="55" t="s">
        <v>156</v>
      </c>
      <c r="G23" t="s">
        <v>174</v>
      </c>
    </row>
    <row r="24" spans="1:7" x14ac:dyDescent="0.25">
      <c r="A24">
        <v>3167876</v>
      </c>
      <c r="B24" t="s">
        <v>125</v>
      </c>
      <c r="C24" t="s">
        <v>93</v>
      </c>
      <c r="D24" s="55" t="s">
        <v>94</v>
      </c>
      <c r="E24" s="66">
        <v>46022</v>
      </c>
      <c r="F24" s="55" t="s">
        <v>95</v>
      </c>
      <c r="G24" t="s">
        <v>174</v>
      </c>
    </row>
    <row r="25" spans="1:7" x14ac:dyDescent="0.25">
      <c r="A25">
        <v>3059847</v>
      </c>
      <c r="B25" t="s">
        <v>125</v>
      </c>
      <c r="C25" t="s">
        <v>91</v>
      </c>
      <c r="D25" s="55" t="s">
        <v>147</v>
      </c>
      <c r="E25" s="66">
        <v>45720</v>
      </c>
      <c r="F25" s="55" t="s">
        <v>164</v>
      </c>
      <c r="G25" t="s">
        <v>174</v>
      </c>
    </row>
    <row r="26" spans="1:7" x14ac:dyDescent="0.25">
      <c r="A26">
        <v>3041909</v>
      </c>
      <c r="B26" t="s">
        <v>125</v>
      </c>
      <c r="C26" t="s">
        <v>91</v>
      </c>
      <c r="D26" s="55" t="s">
        <v>151</v>
      </c>
      <c r="E26" s="66">
        <v>45627</v>
      </c>
      <c r="F26" s="55" t="s">
        <v>165</v>
      </c>
      <c r="G26" t="s">
        <v>174</v>
      </c>
    </row>
    <row r="27" spans="1:7" hidden="1" x14ac:dyDescent="0.25">
      <c r="A27">
        <v>3150194</v>
      </c>
      <c r="B27" t="s">
        <v>125</v>
      </c>
      <c r="C27" t="s">
        <v>91</v>
      </c>
      <c r="D27" s="55" t="s">
        <v>144</v>
      </c>
      <c r="E27" s="66">
        <v>45903</v>
      </c>
      <c r="F27" s="55" t="s">
        <v>157</v>
      </c>
      <c r="G27" t="s">
        <v>175</v>
      </c>
    </row>
    <row r="28" spans="1:7" x14ac:dyDescent="0.25">
      <c r="A28">
        <v>3064539</v>
      </c>
      <c r="B28" t="s">
        <v>125</v>
      </c>
      <c r="C28" t="s">
        <v>91</v>
      </c>
      <c r="D28" s="55" t="s">
        <v>145</v>
      </c>
      <c r="E28" s="66">
        <v>45724</v>
      </c>
      <c r="F28" s="55" t="s">
        <v>158</v>
      </c>
      <c r="G28" t="s">
        <v>174</v>
      </c>
    </row>
    <row r="29" spans="1:7" x14ac:dyDescent="0.25">
      <c r="A29">
        <v>2864590</v>
      </c>
      <c r="B29" t="s">
        <v>125</v>
      </c>
      <c r="C29" t="s">
        <v>87</v>
      </c>
      <c r="D29" s="55" t="s">
        <v>148</v>
      </c>
      <c r="E29" s="66">
        <v>45496</v>
      </c>
      <c r="F29" s="55" t="s">
        <v>161</v>
      </c>
      <c r="G29" t="s">
        <v>174</v>
      </c>
    </row>
    <row r="30" spans="1:7" hidden="1" x14ac:dyDescent="0.25">
      <c r="A30">
        <v>3235913</v>
      </c>
      <c r="B30" t="s">
        <v>138</v>
      </c>
      <c r="C30" t="s">
        <v>142</v>
      </c>
      <c r="D30" s="55" t="s">
        <v>102</v>
      </c>
      <c r="E30" s="66">
        <v>46448</v>
      </c>
      <c r="F30" s="55" t="s">
        <v>121</v>
      </c>
      <c r="G30" t="s">
        <v>175</v>
      </c>
    </row>
    <row r="31" spans="1:7" hidden="1" x14ac:dyDescent="0.25">
      <c r="A31">
        <v>3134618</v>
      </c>
      <c r="B31" t="s">
        <v>138</v>
      </c>
      <c r="C31" t="s">
        <v>99</v>
      </c>
      <c r="D31" s="55" t="s">
        <v>118</v>
      </c>
      <c r="E31" s="66">
        <v>46273</v>
      </c>
      <c r="F31" s="55" t="s">
        <v>119</v>
      </c>
      <c r="G31" t="s">
        <v>175</v>
      </c>
    </row>
    <row r="32" spans="1:7" hidden="1" x14ac:dyDescent="0.25">
      <c r="A32">
        <v>3335841</v>
      </c>
      <c r="B32" t="s">
        <v>138</v>
      </c>
      <c r="C32" t="s">
        <v>123</v>
      </c>
      <c r="D32" s="55" t="s">
        <v>114</v>
      </c>
      <c r="E32" s="66">
        <v>46566</v>
      </c>
      <c r="F32" s="55" t="s">
        <v>122</v>
      </c>
      <c r="G32" t="s">
        <v>175</v>
      </c>
    </row>
    <row r="33" spans="1:7" hidden="1" x14ac:dyDescent="0.25">
      <c r="A33">
        <v>3336170</v>
      </c>
      <c r="B33" t="s">
        <v>138</v>
      </c>
      <c r="C33" t="s">
        <v>140</v>
      </c>
      <c r="D33" s="55" t="s">
        <v>114</v>
      </c>
      <c r="E33" s="66">
        <v>46566</v>
      </c>
      <c r="F33" s="55" t="s">
        <v>122</v>
      </c>
      <c r="G33" t="s">
        <v>175</v>
      </c>
    </row>
    <row r="34" spans="1:7" hidden="1" x14ac:dyDescent="0.25">
      <c r="A34">
        <v>3336182</v>
      </c>
      <c r="B34" t="s">
        <v>138</v>
      </c>
      <c r="C34" t="s">
        <v>140</v>
      </c>
      <c r="D34" s="55" t="s">
        <v>114</v>
      </c>
      <c r="E34" s="66">
        <v>46566</v>
      </c>
      <c r="F34" s="55" t="s">
        <v>122</v>
      </c>
      <c r="G34" t="s">
        <v>175</v>
      </c>
    </row>
    <row r="35" spans="1:7" hidden="1" x14ac:dyDescent="0.25">
      <c r="A35">
        <v>3335839</v>
      </c>
      <c r="B35" t="s">
        <v>138</v>
      </c>
      <c r="C35" t="s">
        <v>123</v>
      </c>
      <c r="D35" s="55" t="s">
        <v>114</v>
      </c>
      <c r="E35" s="66">
        <v>46566</v>
      </c>
      <c r="F35" s="55" t="s">
        <v>122</v>
      </c>
      <c r="G35" t="s">
        <v>175</v>
      </c>
    </row>
    <row r="36" spans="1:7" hidden="1" x14ac:dyDescent="0.25">
      <c r="A36">
        <v>3336175</v>
      </c>
      <c r="B36" t="s">
        <v>138</v>
      </c>
      <c r="C36" t="s">
        <v>140</v>
      </c>
      <c r="D36" s="55" t="s">
        <v>114</v>
      </c>
      <c r="E36" s="66">
        <v>46566</v>
      </c>
      <c r="F36" s="55" t="s">
        <v>122</v>
      </c>
      <c r="G36" t="s">
        <v>175</v>
      </c>
    </row>
    <row r="37" spans="1:7" hidden="1" x14ac:dyDescent="0.25">
      <c r="A37">
        <v>3235896</v>
      </c>
      <c r="B37" t="s">
        <v>138</v>
      </c>
      <c r="C37" t="s">
        <v>140</v>
      </c>
      <c r="D37" s="55" t="s">
        <v>102</v>
      </c>
      <c r="E37" s="66">
        <v>46448</v>
      </c>
      <c r="F37" s="55" t="s">
        <v>121</v>
      </c>
      <c r="G37" t="s">
        <v>175</v>
      </c>
    </row>
    <row r="38" spans="1:7" hidden="1" x14ac:dyDescent="0.25">
      <c r="A38">
        <v>3335847</v>
      </c>
      <c r="B38" t="s">
        <v>138</v>
      </c>
      <c r="C38" t="s">
        <v>123</v>
      </c>
      <c r="D38" s="55" t="s">
        <v>114</v>
      </c>
      <c r="E38" s="66">
        <v>46566</v>
      </c>
      <c r="F38" s="55" t="s">
        <v>122</v>
      </c>
      <c r="G38" t="s">
        <v>175</v>
      </c>
    </row>
    <row r="39" spans="1:7" hidden="1" x14ac:dyDescent="0.25">
      <c r="A39">
        <v>3335838</v>
      </c>
      <c r="B39" t="s">
        <v>138</v>
      </c>
      <c r="C39" t="s">
        <v>123</v>
      </c>
      <c r="D39" s="55" t="s">
        <v>114</v>
      </c>
      <c r="E39" s="66">
        <v>46566</v>
      </c>
      <c r="F39" s="55" t="s">
        <v>122</v>
      </c>
      <c r="G39" t="s">
        <v>175</v>
      </c>
    </row>
    <row r="40" spans="1:7" x14ac:dyDescent="0.25">
      <c r="A40">
        <v>2675717</v>
      </c>
      <c r="B40" t="s">
        <v>138</v>
      </c>
      <c r="C40" t="s">
        <v>141</v>
      </c>
      <c r="D40" s="55" t="s">
        <v>155</v>
      </c>
      <c r="E40" s="66">
        <v>45524</v>
      </c>
      <c r="F40" s="55" t="s">
        <v>170</v>
      </c>
      <c r="G40" t="s">
        <v>174</v>
      </c>
    </row>
    <row r="41" spans="1:7" hidden="1" x14ac:dyDescent="0.25">
      <c r="A41">
        <v>3186305</v>
      </c>
      <c r="B41" t="s">
        <v>125</v>
      </c>
      <c r="C41" t="s">
        <v>92</v>
      </c>
      <c r="D41" s="55" t="s">
        <v>88</v>
      </c>
      <c r="E41" s="66">
        <v>46021</v>
      </c>
      <c r="F41" s="55" t="s">
        <v>89</v>
      </c>
      <c r="G41" t="s">
        <v>175</v>
      </c>
    </row>
    <row r="42" spans="1:7" hidden="1" x14ac:dyDescent="0.25">
      <c r="A42">
        <v>3335849</v>
      </c>
      <c r="B42" t="s">
        <v>138</v>
      </c>
      <c r="C42" t="s">
        <v>123</v>
      </c>
      <c r="D42" s="55" t="s">
        <v>114</v>
      </c>
      <c r="E42" s="66">
        <v>46566</v>
      </c>
      <c r="F42" s="55" t="s">
        <v>122</v>
      </c>
      <c r="G42" t="s">
        <v>175</v>
      </c>
    </row>
    <row r="43" spans="1:7" hidden="1" x14ac:dyDescent="0.25">
      <c r="A43">
        <v>3236062</v>
      </c>
      <c r="B43" t="s">
        <v>125</v>
      </c>
      <c r="C43" t="s">
        <v>91</v>
      </c>
      <c r="D43" s="55" t="s">
        <v>102</v>
      </c>
      <c r="E43" s="66">
        <v>46083</v>
      </c>
      <c r="F43" s="55" t="s">
        <v>103</v>
      </c>
      <c r="G43" t="s">
        <v>175</v>
      </c>
    </row>
    <row r="44" spans="1:7" hidden="1" x14ac:dyDescent="0.25">
      <c r="A44">
        <v>3336178</v>
      </c>
      <c r="B44" t="s">
        <v>138</v>
      </c>
      <c r="C44" t="s">
        <v>140</v>
      </c>
      <c r="D44" s="55" t="s">
        <v>114</v>
      </c>
      <c r="E44" s="66">
        <v>46566</v>
      </c>
      <c r="F44" s="55" t="s">
        <v>122</v>
      </c>
      <c r="G44" t="s">
        <v>175</v>
      </c>
    </row>
    <row r="45" spans="1:7" x14ac:dyDescent="0.25">
      <c r="A45">
        <v>2675911</v>
      </c>
      <c r="B45" t="s">
        <v>138</v>
      </c>
      <c r="C45" t="s">
        <v>100</v>
      </c>
      <c r="D45" s="55" t="s">
        <v>155</v>
      </c>
      <c r="E45" s="66">
        <v>45524</v>
      </c>
      <c r="F45" s="55" t="s">
        <v>170</v>
      </c>
      <c r="G45" t="s">
        <v>174</v>
      </c>
    </row>
    <row r="46" spans="1:7" hidden="1" x14ac:dyDescent="0.25">
      <c r="A46">
        <v>3336176</v>
      </c>
      <c r="B46" t="s">
        <v>138</v>
      </c>
      <c r="C46" t="s">
        <v>140</v>
      </c>
      <c r="D46" s="55" t="s">
        <v>114</v>
      </c>
      <c r="E46" s="66">
        <v>46566</v>
      </c>
      <c r="F46" s="55" t="s">
        <v>122</v>
      </c>
      <c r="G46" t="s">
        <v>175</v>
      </c>
    </row>
    <row r="47" spans="1:7" hidden="1" x14ac:dyDescent="0.25">
      <c r="A47">
        <v>2879546</v>
      </c>
      <c r="B47" t="s">
        <v>138</v>
      </c>
      <c r="C47" t="s">
        <v>141</v>
      </c>
      <c r="D47" s="55" t="s">
        <v>152</v>
      </c>
      <c r="E47" s="66">
        <v>45888</v>
      </c>
      <c r="F47" s="55" t="s">
        <v>166</v>
      </c>
      <c r="G47" t="s">
        <v>175</v>
      </c>
    </row>
    <row r="48" spans="1:7" hidden="1" x14ac:dyDescent="0.25">
      <c r="A48">
        <v>3335842</v>
      </c>
      <c r="B48" t="s">
        <v>138</v>
      </c>
      <c r="C48" t="s">
        <v>123</v>
      </c>
      <c r="D48" s="55" t="s">
        <v>114</v>
      </c>
      <c r="E48" s="66">
        <v>46566</v>
      </c>
      <c r="F48" s="55" t="s">
        <v>122</v>
      </c>
      <c r="G48" t="s">
        <v>175</v>
      </c>
    </row>
    <row r="49" spans="1:7" hidden="1" x14ac:dyDescent="0.25">
      <c r="A49">
        <v>3235890</v>
      </c>
      <c r="B49" t="s">
        <v>138</v>
      </c>
      <c r="C49" t="s">
        <v>140</v>
      </c>
      <c r="D49" s="55" t="s">
        <v>102</v>
      </c>
      <c r="E49" s="66">
        <v>46448</v>
      </c>
      <c r="F49" s="55" t="s">
        <v>121</v>
      </c>
      <c r="G49" t="s">
        <v>175</v>
      </c>
    </row>
    <row r="50" spans="1:7" hidden="1" x14ac:dyDescent="0.25">
      <c r="A50">
        <v>3335843</v>
      </c>
      <c r="B50" t="s">
        <v>138</v>
      </c>
      <c r="C50" t="s">
        <v>123</v>
      </c>
      <c r="D50" s="55" t="s">
        <v>114</v>
      </c>
      <c r="E50" s="66">
        <v>46566</v>
      </c>
      <c r="F50" s="55" t="s">
        <v>122</v>
      </c>
      <c r="G50" t="s">
        <v>175</v>
      </c>
    </row>
    <row r="51" spans="1:7" hidden="1" x14ac:dyDescent="0.25">
      <c r="A51">
        <v>3335835</v>
      </c>
      <c r="B51" t="s">
        <v>138</v>
      </c>
      <c r="C51" t="s">
        <v>123</v>
      </c>
      <c r="D51" s="55" t="s">
        <v>114</v>
      </c>
      <c r="E51" s="66">
        <v>46566</v>
      </c>
      <c r="F51" s="55" t="s">
        <v>122</v>
      </c>
      <c r="G51" t="s">
        <v>175</v>
      </c>
    </row>
    <row r="52" spans="1:7" hidden="1" x14ac:dyDescent="0.25">
      <c r="A52">
        <v>3185932</v>
      </c>
      <c r="B52" t="s">
        <v>138</v>
      </c>
      <c r="C52" t="s">
        <v>101</v>
      </c>
      <c r="D52" s="55" t="s">
        <v>88</v>
      </c>
      <c r="E52" s="66">
        <v>46386</v>
      </c>
      <c r="F52" s="55" t="s">
        <v>120</v>
      </c>
      <c r="G52" t="s">
        <v>175</v>
      </c>
    </row>
    <row r="53" spans="1:7" hidden="1" x14ac:dyDescent="0.25">
      <c r="A53">
        <v>3186630</v>
      </c>
      <c r="B53" t="s">
        <v>138</v>
      </c>
      <c r="C53" t="s">
        <v>140</v>
      </c>
      <c r="D53" s="55" t="s">
        <v>88</v>
      </c>
      <c r="E53" s="66">
        <v>46386</v>
      </c>
      <c r="F53" s="55" t="s">
        <v>120</v>
      </c>
      <c r="G53" t="s">
        <v>175</v>
      </c>
    </row>
    <row r="54" spans="1:7" x14ac:dyDescent="0.25">
      <c r="A54">
        <v>2675912</v>
      </c>
      <c r="B54" t="s">
        <v>138</v>
      </c>
      <c r="C54" t="s">
        <v>100</v>
      </c>
      <c r="D54" s="55" t="s">
        <v>155</v>
      </c>
      <c r="E54" s="66">
        <v>45524</v>
      </c>
      <c r="F54" s="55" t="s">
        <v>170</v>
      </c>
      <c r="G54" t="s">
        <v>174</v>
      </c>
    </row>
    <row r="55" spans="1:7" x14ac:dyDescent="0.25">
      <c r="A55">
        <v>2675759</v>
      </c>
      <c r="B55" t="s">
        <v>138</v>
      </c>
      <c r="C55" t="s">
        <v>142</v>
      </c>
      <c r="D55" s="55" t="s">
        <v>155</v>
      </c>
      <c r="E55" s="66">
        <v>45524</v>
      </c>
      <c r="F55" s="55" t="s">
        <v>170</v>
      </c>
      <c r="G55" t="s">
        <v>174</v>
      </c>
    </row>
    <row r="56" spans="1:7" x14ac:dyDescent="0.25">
      <c r="A56">
        <v>2675758</v>
      </c>
      <c r="B56" t="s">
        <v>138</v>
      </c>
      <c r="C56" t="s">
        <v>142</v>
      </c>
      <c r="D56" s="55" t="s">
        <v>155</v>
      </c>
      <c r="E56" s="66">
        <v>45524</v>
      </c>
      <c r="F56" s="55" t="s">
        <v>170</v>
      </c>
      <c r="G56" t="s">
        <v>174</v>
      </c>
    </row>
    <row r="57" spans="1:7" hidden="1" x14ac:dyDescent="0.25">
      <c r="A57">
        <v>3070362</v>
      </c>
      <c r="B57" t="s">
        <v>138</v>
      </c>
      <c r="C57" t="s">
        <v>100</v>
      </c>
      <c r="D57" s="55" t="s">
        <v>108</v>
      </c>
      <c r="E57" s="66">
        <v>46188</v>
      </c>
      <c r="F57" s="55" t="s">
        <v>109</v>
      </c>
      <c r="G57" t="s">
        <v>175</v>
      </c>
    </row>
    <row r="58" spans="1:7" hidden="1" x14ac:dyDescent="0.25">
      <c r="A58">
        <v>2879841</v>
      </c>
      <c r="B58" t="s">
        <v>138</v>
      </c>
      <c r="C58" t="s">
        <v>101</v>
      </c>
      <c r="D58" s="55" t="s">
        <v>152</v>
      </c>
      <c r="E58" s="66">
        <v>45888</v>
      </c>
      <c r="F58" s="55" t="s">
        <v>166</v>
      </c>
      <c r="G58" t="s">
        <v>175</v>
      </c>
    </row>
    <row r="59" spans="1:7" x14ac:dyDescent="0.25">
      <c r="A59">
        <v>2675815</v>
      </c>
      <c r="B59" t="s">
        <v>138</v>
      </c>
      <c r="C59" t="s">
        <v>140</v>
      </c>
      <c r="D59" s="55" t="s">
        <v>155</v>
      </c>
      <c r="E59" s="66">
        <v>45524</v>
      </c>
      <c r="F59" s="55" t="s">
        <v>170</v>
      </c>
      <c r="G59" t="s">
        <v>174</v>
      </c>
    </row>
    <row r="60" spans="1:7" hidden="1" x14ac:dyDescent="0.25">
      <c r="A60">
        <v>3336286</v>
      </c>
      <c r="B60" t="s">
        <v>125</v>
      </c>
      <c r="C60" t="s">
        <v>93</v>
      </c>
      <c r="D60" s="55" t="s">
        <v>114</v>
      </c>
      <c r="E60" s="66">
        <v>46201</v>
      </c>
      <c r="F60" s="55" t="s">
        <v>115</v>
      </c>
      <c r="G60" t="s">
        <v>175</v>
      </c>
    </row>
    <row r="61" spans="1:7" hidden="1" x14ac:dyDescent="0.25">
      <c r="A61">
        <v>3336287</v>
      </c>
      <c r="B61" t="s">
        <v>125</v>
      </c>
      <c r="C61" t="s">
        <v>93</v>
      </c>
      <c r="D61" s="55" t="s">
        <v>114</v>
      </c>
      <c r="E61" s="66">
        <v>46201</v>
      </c>
      <c r="F61" s="55" t="s">
        <v>115</v>
      </c>
      <c r="G61" t="s">
        <v>175</v>
      </c>
    </row>
    <row r="62" spans="1:7" hidden="1" x14ac:dyDescent="0.25">
      <c r="A62">
        <v>2977136</v>
      </c>
      <c r="B62" t="s">
        <v>138</v>
      </c>
      <c r="C62" t="s">
        <v>96</v>
      </c>
      <c r="D62" s="55" t="s">
        <v>97</v>
      </c>
      <c r="E62" s="66">
        <v>46066</v>
      </c>
      <c r="F62" s="55" t="s">
        <v>98</v>
      </c>
      <c r="G62" t="s">
        <v>175</v>
      </c>
    </row>
    <row r="63" spans="1:7" hidden="1" x14ac:dyDescent="0.25">
      <c r="A63">
        <v>3186207</v>
      </c>
      <c r="B63" t="s">
        <v>125</v>
      </c>
      <c r="C63" t="s">
        <v>87</v>
      </c>
      <c r="D63" s="55" t="s">
        <v>88</v>
      </c>
      <c r="E63" s="66">
        <v>46021</v>
      </c>
      <c r="F63" s="55" t="s">
        <v>89</v>
      </c>
      <c r="G63" t="s">
        <v>175</v>
      </c>
    </row>
    <row r="64" spans="1:7" hidden="1" x14ac:dyDescent="0.25">
      <c r="A64">
        <v>3070363</v>
      </c>
      <c r="B64" t="s">
        <v>138</v>
      </c>
      <c r="C64" t="s">
        <v>100</v>
      </c>
      <c r="D64" s="55" t="s">
        <v>108</v>
      </c>
      <c r="E64" s="66">
        <v>46188</v>
      </c>
      <c r="F64" s="55" t="s">
        <v>109</v>
      </c>
      <c r="G64" t="s">
        <v>175</v>
      </c>
    </row>
    <row r="65" spans="1:7" hidden="1" x14ac:dyDescent="0.25">
      <c r="A65">
        <v>2977138</v>
      </c>
      <c r="B65" t="s">
        <v>138</v>
      </c>
      <c r="C65" t="s">
        <v>96</v>
      </c>
      <c r="D65" s="55" t="s">
        <v>97</v>
      </c>
      <c r="E65" s="66">
        <v>46066</v>
      </c>
      <c r="F65" s="55" t="s">
        <v>98</v>
      </c>
      <c r="G65" t="s">
        <v>175</v>
      </c>
    </row>
    <row r="66" spans="1:7" x14ac:dyDescent="0.25">
      <c r="A66">
        <v>2834650</v>
      </c>
      <c r="B66" t="s">
        <v>138</v>
      </c>
      <c r="C66" t="s">
        <v>142</v>
      </c>
      <c r="D66" s="55" t="s">
        <v>153</v>
      </c>
      <c r="E66" s="66">
        <v>45818</v>
      </c>
      <c r="F66" s="55" t="s">
        <v>167</v>
      </c>
      <c r="G66" t="s">
        <v>174</v>
      </c>
    </row>
    <row r="67" spans="1:7" hidden="1" x14ac:dyDescent="0.25">
      <c r="A67">
        <v>2879698</v>
      </c>
      <c r="B67" t="s">
        <v>138</v>
      </c>
      <c r="C67" t="s">
        <v>140</v>
      </c>
      <c r="D67" s="55" t="s">
        <v>152</v>
      </c>
      <c r="E67" s="66">
        <v>45888</v>
      </c>
      <c r="F67" s="55" t="s">
        <v>166</v>
      </c>
      <c r="G67" t="s">
        <v>175</v>
      </c>
    </row>
    <row r="68" spans="1:7" x14ac:dyDescent="0.25">
      <c r="A68">
        <v>2675825</v>
      </c>
      <c r="B68" t="s">
        <v>138</v>
      </c>
      <c r="C68" t="s">
        <v>140</v>
      </c>
      <c r="D68" s="55" t="s">
        <v>155</v>
      </c>
      <c r="E68" s="66">
        <v>45524</v>
      </c>
      <c r="F68" s="55" t="s">
        <v>170</v>
      </c>
      <c r="G68" t="s">
        <v>174</v>
      </c>
    </row>
    <row r="69" spans="1:7" x14ac:dyDescent="0.25">
      <c r="A69">
        <v>2834649</v>
      </c>
      <c r="B69" t="s">
        <v>138</v>
      </c>
      <c r="C69" t="s">
        <v>142</v>
      </c>
      <c r="D69" s="55" t="s">
        <v>153</v>
      </c>
      <c r="E69" s="66">
        <v>45818</v>
      </c>
      <c r="F69" s="55" t="s">
        <v>167</v>
      </c>
      <c r="G69" t="s">
        <v>174</v>
      </c>
    </row>
    <row r="70" spans="1:7" hidden="1" x14ac:dyDescent="0.25">
      <c r="A70">
        <v>3235891</v>
      </c>
      <c r="B70" t="s">
        <v>138</v>
      </c>
      <c r="C70" t="s">
        <v>140</v>
      </c>
      <c r="D70" s="55" t="s">
        <v>102</v>
      </c>
      <c r="E70" s="66">
        <v>46448</v>
      </c>
      <c r="F70" s="55" t="s">
        <v>121</v>
      </c>
      <c r="G70" t="s">
        <v>175</v>
      </c>
    </row>
    <row r="71" spans="1:7" x14ac:dyDescent="0.25">
      <c r="A71">
        <v>2675830</v>
      </c>
      <c r="B71" t="s">
        <v>138</v>
      </c>
      <c r="C71" t="s">
        <v>140</v>
      </c>
      <c r="D71" s="55" t="s">
        <v>155</v>
      </c>
      <c r="E71" s="66">
        <v>45524</v>
      </c>
      <c r="F71" s="55" t="s">
        <v>170</v>
      </c>
      <c r="G71" t="s">
        <v>174</v>
      </c>
    </row>
    <row r="72" spans="1:7" x14ac:dyDescent="0.25">
      <c r="A72">
        <v>2675821</v>
      </c>
      <c r="B72" t="s">
        <v>138</v>
      </c>
      <c r="C72" t="s">
        <v>140</v>
      </c>
      <c r="D72" s="55" t="s">
        <v>155</v>
      </c>
      <c r="E72" s="66">
        <v>45524</v>
      </c>
      <c r="F72" s="55" t="s">
        <v>170</v>
      </c>
      <c r="G72" t="s">
        <v>174</v>
      </c>
    </row>
    <row r="73" spans="1:7" hidden="1" x14ac:dyDescent="0.25">
      <c r="A73">
        <v>3235975</v>
      </c>
      <c r="B73" t="s">
        <v>138</v>
      </c>
      <c r="C73" t="s">
        <v>101</v>
      </c>
      <c r="D73" s="55" t="s">
        <v>102</v>
      </c>
      <c r="E73" s="66">
        <v>46448</v>
      </c>
      <c r="F73" s="55" t="s">
        <v>121</v>
      </c>
      <c r="G73" t="s">
        <v>175</v>
      </c>
    </row>
    <row r="74" spans="1:7" hidden="1" x14ac:dyDescent="0.25">
      <c r="A74">
        <v>2879610</v>
      </c>
      <c r="B74" t="s">
        <v>138</v>
      </c>
      <c r="C74" t="s">
        <v>142</v>
      </c>
      <c r="D74" s="55" t="s">
        <v>152</v>
      </c>
      <c r="E74" s="66">
        <v>45888</v>
      </c>
      <c r="F74" s="55" t="s">
        <v>166</v>
      </c>
      <c r="G74" t="s">
        <v>175</v>
      </c>
    </row>
    <row r="75" spans="1:7" x14ac:dyDescent="0.25">
      <c r="A75">
        <v>2675744</v>
      </c>
      <c r="B75" t="s">
        <v>138</v>
      </c>
      <c r="C75" t="s">
        <v>99</v>
      </c>
      <c r="D75" s="55" t="s">
        <v>155</v>
      </c>
      <c r="E75" s="66">
        <v>45524</v>
      </c>
      <c r="F75" s="55" t="s">
        <v>170</v>
      </c>
      <c r="G75" t="s">
        <v>174</v>
      </c>
    </row>
    <row r="76" spans="1:7" hidden="1" x14ac:dyDescent="0.25">
      <c r="A76">
        <v>2977137</v>
      </c>
      <c r="B76" t="s">
        <v>138</v>
      </c>
      <c r="C76" t="s">
        <v>96</v>
      </c>
      <c r="D76" s="55" t="s">
        <v>97</v>
      </c>
      <c r="E76" s="66">
        <v>46066</v>
      </c>
      <c r="F76" s="55" t="s">
        <v>98</v>
      </c>
      <c r="G76" t="s">
        <v>175</v>
      </c>
    </row>
    <row r="77" spans="1:7" hidden="1" x14ac:dyDescent="0.25">
      <c r="A77">
        <v>3388646</v>
      </c>
      <c r="B77" t="s">
        <v>138</v>
      </c>
      <c r="C77" t="s">
        <v>123</v>
      </c>
      <c r="D77" s="55" t="s">
        <v>172</v>
      </c>
      <c r="E77" s="66">
        <v>46638</v>
      </c>
      <c r="F77" s="55" t="s">
        <v>173</v>
      </c>
      <c r="G77" t="s">
        <v>175</v>
      </c>
    </row>
    <row r="78" spans="1:7" hidde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  <v>46066</v>
      </c>
      <c r="F78" s="55" t="s">
        <v>98</v>
      </c>
      <c r="G78" t="s">
        <v>175</v>
      </c>
    </row>
    <row r="79" spans="1:7" hidden="1" x14ac:dyDescent="0.25">
      <c r="A79">
        <v>2977459</v>
      </c>
      <c r="B79" t="s">
        <v>138</v>
      </c>
      <c r="C79" t="s">
        <v>140</v>
      </c>
      <c r="D79" s="55" t="s">
        <v>97</v>
      </c>
      <c r="E79" s="66">
        <v>46066</v>
      </c>
      <c r="F79" s="55" t="s">
        <v>98</v>
      </c>
      <c r="G79" t="s">
        <v>175</v>
      </c>
    </row>
    <row r="80" spans="1:7" hidden="1" x14ac:dyDescent="0.25">
      <c r="A80">
        <v>3070361</v>
      </c>
      <c r="B80" t="s">
        <v>138</v>
      </c>
      <c r="C80" t="s">
        <v>100</v>
      </c>
      <c r="D80" s="55" t="s">
        <v>108</v>
      </c>
      <c r="E80" s="66">
        <v>46188</v>
      </c>
      <c r="F80" s="55" t="s">
        <v>109</v>
      </c>
      <c r="G80" t="s">
        <v>175</v>
      </c>
    </row>
    <row r="81" spans="1:7" hidden="1" x14ac:dyDescent="0.25">
      <c r="A81">
        <v>2977747</v>
      </c>
      <c r="B81" t="s">
        <v>138</v>
      </c>
      <c r="C81" t="s">
        <v>101</v>
      </c>
      <c r="D81" s="55" t="s">
        <v>97</v>
      </c>
      <c r="E81" s="66">
        <v>46066</v>
      </c>
      <c r="F81" s="55" t="s">
        <v>98</v>
      </c>
      <c r="G81" t="s">
        <v>175</v>
      </c>
    </row>
    <row r="82" spans="1:7" hidden="1" x14ac:dyDescent="0.25">
      <c r="A82">
        <v>2977755</v>
      </c>
      <c r="B82" t="s">
        <v>138</v>
      </c>
      <c r="C82" t="s">
        <v>101</v>
      </c>
      <c r="D82" s="55" t="s">
        <v>97</v>
      </c>
      <c r="E82" s="66">
        <v>46066</v>
      </c>
      <c r="F82" s="55" t="s">
        <v>98</v>
      </c>
      <c r="G82" t="s">
        <v>175</v>
      </c>
    </row>
    <row r="83" spans="1:7" hidden="1" x14ac:dyDescent="0.25">
      <c r="A83">
        <v>3070324</v>
      </c>
      <c r="B83" t="s">
        <v>138</v>
      </c>
      <c r="C83" t="s">
        <v>140</v>
      </c>
      <c r="D83" s="55" t="s">
        <v>108</v>
      </c>
      <c r="E83" s="66">
        <v>46188</v>
      </c>
      <c r="F83" s="55" t="s">
        <v>109</v>
      </c>
      <c r="G83" t="s">
        <v>175</v>
      </c>
    </row>
    <row r="84" spans="1:7" hidden="1" x14ac:dyDescent="0.25">
      <c r="A84">
        <v>2977757</v>
      </c>
      <c r="B84" t="s">
        <v>138</v>
      </c>
      <c r="C84" t="s">
        <v>101</v>
      </c>
      <c r="D84" s="55" t="s">
        <v>97</v>
      </c>
      <c r="E84" s="66">
        <v>46066</v>
      </c>
      <c r="F84" s="55" t="s">
        <v>98</v>
      </c>
      <c r="G84" t="s">
        <v>175</v>
      </c>
    </row>
    <row r="85" spans="1:7" x14ac:dyDescent="0.25">
      <c r="A85">
        <v>2834855</v>
      </c>
      <c r="B85" t="s">
        <v>138</v>
      </c>
      <c r="C85" t="s">
        <v>140</v>
      </c>
      <c r="D85" s="55" t="s">
        <v>153</v>
      </c>
      <c r="E85" s="66">
        <v>45818</v>
      </c>
      <c r="F85" s="55" t="s">
        <v>167</v>
      </c>
      <c r="G85" t="s">
        <v>174</v>
      </c>
    </row>
    <row r="86" spans="1:7" x14ac:dyDescent="0.25">
      <c r="A86">
        <v>2834853</v>
      </c>
      <c r="B86" t="s">
        <v>138</v>
      </c>
      <c r="C86" t="s">
        <v>140</v>
      </c>
      <c r="D86" s="55" t="s">
        <v>153</v>
      </c>
      <c r="E86" s="66">
        <v>45818</v>
      </c>
      <c r="F86" s="55" t="s">
        <v>167</v>
      </c>
      <c r="G86" t="s">
        <v>174</v>
      </c>
    </row>
    <row r="87" spans="1:7" hidden="1" x14ac:dyDescent="0.25">
      <c r="A87">
        <v>3236532</v>
      </c>
      <c r="B87" t="s">
        <v>138</v>
      </c>
      <c r="C87" t="s">
        <v>96</v>
      </c>
      <c r="D87" s="55" t="s">
        <v>102</v>
      </c>
      <c r="E87" s="66">
        <v>46448</v>
      </c>
      <c r="F87" s="55" t="s">
        <v>121</v>
      </c>
      <c r="G87" t="s">
        <v>175</v>
      </c>
    </row>
    <row r="88" spans="1:7" hidden="1" x14ac:dyDescent="0.25">
      <c r="A88">
        <v>3070326</v>
      </c>
      <c r="B88" t="s">
        <v>138</v>
      </c>
      <c r="C88" t="s">
        <v>140</v>
      </c>
      <c r="D88" s="55" t="s">
        <v>108</v>
      </c>
      <c r="E88" s="66">
        <v>46188</v>
      </c>
      <c r="F88" s="55" t="s">
        <v>109</v>
      </c>
      <c r="G88" t="s">
        <v>175</v>
      </c>
    </row>
    <row r="89" spans="1:7" x14ac:dyDescent="0.25">
      <c r="A89">
        <v>2834838</v>
      </c>
      <c r="B89" t="s">
        <v>138</v>
      </c>
      <c r="C89" t="s">
        <v>140</v>
      </c>
      <c r="D89" s="55" t="s">
        <v>153</v>
      </c>
      <c r="E89" s="66">
        <v>45818</v>
      </c>
      <c r="F89" s="55" t="s">
        <v>167</v>
      </c>
      <c r="G89" t="s">
        <v>174</v>
      </c>
    </row>
    <row r="90" spans="1:7" x14ac:dyDescent="0.25">
      <c r="A90">
        <v>2675818</v>
      </c>
      <c r="B90" t="s">
        <v>138</v>
      </c>
      <c r="C90" t="s">
        <v>140</v>
      </c>
      <c r="D90" s="55" t="s">
        <v>155</v>
      </c>
      <c r="E90" s="66">
        <v>45524</v>
      </c>
      <c r="F90" s="55" t="s">
        <v>170</v>
      </c>
      <c r="G90" t="s">
        <v>174</v>
      </c>
    </row>
    <row r="91" spans="1:7" x14ac:dyDescent="0.25">
      <c r="A91">
        <v>2675832</v>
      </c>
      <c r="B91" t="s">
        <v>138</v>
      </c>
      <c r="C91" t="s">
        <v>140</v>
      </c>
      <c r="D91" s="55" t="s">
        <v>155</v>
      </c>
      <c r="E91" s="66">
        <v>45524</v>
      </c>
      <c r="F91" s="55" t="s">
        <v>170</v>
      </c>
      <c r="G91" t="s">
        <v>174</v>
      </c>
    </row>
    <row r="92" spans="1:7" hidden="1" x14ac:dyDescent="0.25">
      <c r="A92">
        <v>2977461</v>
      </c>
      <c r="B92" t="s">
        <v>138</v>
      </c>
      <c r="C92" t="s">
        <v>140</v>
      </c>
      <c r="D92" s="55" t="s">
        <v>97</v>
      </c>
      <c r="E92" s="66">
        <v>46066</v>
      </c>
      <c r="F92" s="55" t="s">
        <v>98</v>
      </c>
      <c r="G92" t="s">
        <v>175</v>
      </c>
    </row>
    <row r="93" spans="1:7" hidden="1" x14ac:dyDescent="0.25">
      <c r="A93">
        <v>3070364</v>
      </c>
      <c r="B93" t="s">
        <v>138</v>
      </c>
      <c r="C93" t="s">
        <v>100</v>
      </c>
      <c r="D93" s="55" t="s">
        <v>108</v>
      </c>
      <c r="E93" s="66">
        <v>46188</v>
      </c>
      <c r="F93" s="55" t="s">
        <v>109</v>
      </c>
      <c r="G93" t="s">
        <v>175</v>
      </c>
    </row>
    <row r="94" spans="1:7" x14ac:dyDescent="0.25">
      <c r="A94">
        <v>2675819</v>
      </c>
      <c r="B94" t="s">
        <v>138</v>
      </c>
      <c r="C94" t="s">
        <v>140</v>
      </c>
      <c r="D94" s="55" t="s">
        <v>155</v>
      </c>
      <c r="E94" s="66">
        <v>45524</v>
      </c>
      <c r="F94" s="55" t="s">
        <v>170</v>
      </c>
      <c r="G94" t="s">
        <v>174</v>
      </c>
    </row>
    <row r="95" spans="1:7" hidden="1" x14ac:dyDescent="0.25">
      <c r="A95">
        <v>3388642</v>
      </c>
      <c r="B95" t="s">
        <v>138</v>
      </c>
      <c r="C95" t="s">
        <v>123</v>
      </c>
      <c r="D95" s="55" t="s">
        <v>172</v>
      </c>
      <c r="E95" s="66">
        <v>46638</v>
      </c>
      <c r="F95" s="55" t="s">
        <v>173</v>
      </c>
      <c r="G95" t="s">
        <v>175</v>
      </c>
    </row>
    <row r="96" spans="1:7" hidden="1" x14ac:dyDescent="0.25">
      <c r="A96">
        <v>3185929</v>
      </c>
      <c r="B96" t="s">
        <v>138</v>
      </c>
      <c r="C96" t="s">
        <v>101</v>
      </c>
      <c r="D96" s="55" t="s">
        <v>88</v>
      </c>
      <c r="E96" s="66">
        <v>46386</v>
      </c>
      <c r="F96" s="55" t="s">
        <v>120</v>
      </c>
      <c r="G96" t="s">
        <v>175</v>
      </c>
    </row>
    <row r="97" spans="1:7" hidden="1" x14ac:dyDescent="0.25">
      <c r="A97">
        <v>3185931</v>
      </c>
      <c r="B97" t="s">
        <v>138</v>
      </c>
      <c r="C97" t="s">
        <v>101</v>
      </c>
      <c r="D97" s="55" t="s">
        <v>88</v>
      </c>
      <c r="E97" s="66">
        <v>46386</v>
      </c>
      <c r="F97" s="55" t="s">
        <v>120</v>
      </c>
      <c r="G97" t="s">
        <v>175</v>
      </c>
    </row>
    <row r="98" spans="1:7" x14ac:dyDescent="0.25">
      <c r="A98">
        <v>2675824</v>
      </c>
      <c r="B98" t="s">
        <v>138</v>
      </c>
      <c r="C98" t="s">
        <v>140</v>
      </c>
      <c r="D98" s="55" t="s">
        <v>155</v>
      </c>
      <c r="E98" s="66">
        <v>45524</v>
      </c>
      <c r="F98" s="55" t="s">
        <v>170</v>
      </c>
      <c r="G98" t="s">
        <v>174</v>
      </c>
    </row>
    <row r="99" spans="1:7" hidden="1" x14ac:dyDescent="0.25">
      <c r="A99">
        <v>3336458</v>
      </c>
      <c r="B99" t="s">
        <v>138</v>
      </c>
      <c r="C99" t="s">
        <v>101</v>
      </c>
      <c r="D99" s="55" t="s">
        <v>114</v>
      </c>
      <c r="E99" s="66">
        <v>46566</v>
      </c>
      <c r="F99" s="55" t="s">
        <v>122</v>
      </c>
      <c r="G99" t="s">
        <v>175</v>
      </c>
    </row>
    <row r="100" spans="1:7" x14ac:dyDescent="0.25">
      <c r="A100">
        <v>2675791</v>
      </c>
      <c r="B100" t="s">
        <v>138</v>
      </c>
      <c r="C100" t="s">
        <v>140</v>
      </c>
      <c r="D100" s="55" t="s">
        <v>155</v>
      </c>
      <c r="E100" s="66">
        <v>45524</v>
      </c>
      <c r="F100" s="55" t="s">
        <v>170</v>
      </c>
      <c r="G100" t="s">
        <v>174</v>
      </c>
    </row>
    <row r="101" spans="1:7" x14ac:dyDescent="0.25">
      <c r="A101">
        <v>2675820</v>
      </c>
      <c r="B101" t="s">
        <v>138</v>
      </c>
      <c r="C101" t="s">
        <v>140</v>
      </c>
      <c r="D101" s="55" t="s">
        <v>155</v>
      </c>
      <c r="E101" s="66">
        <v>45524</v>
      </c>
      <c r="F101" s="55" t="s">
        <v>170</v>
      </c>
      <c r="G101" t="s">
        <v>174</v>
      </c>
    </row>
    <row r="102" spans="1:7" hidden="1" x14ac:dyDescent="0.25">
      <c r="A102">
        <v>2879837</v>
      </c>
      <c r="B102" t="s">
        <v>138</v>
      </c>
      <c r="C102" t="s">
        <v>101</v>
      </c>
      <c r="D102" s="55" t="s">
        <v>152</v>
      </c>
      <c r="E102" s="66">
        <v>45888</v>
      </c>
      <c r="F102" s="55" t="s">
        <v>166</v>
      </c>
      <c r="G102" t="s">
        <v>175</v>
      </c>
    </row>
    <row r="103" spans="1:7" x14ac:dyDescent="0.25">
      <c r="A103">
        <v>2675745</v>
      </c>
      <c r="B103" t="s">
        <v>138</v>
      </c>
      <c r="C103" t="s">
        <v>99</v>
      </c>
      <c r="D103" s="55" t="s">
        <v>155</v>
      </c>
      <c r="E103" s="66">
        <v>45524</v>
      </c>
      <c r="F103" s="55" t="s">
        <v>170</v>
      </c>
      <c r="G103" t="s">
        <v>174</v>
      </c>
    </row>
    <row r="104" spans="1:7" hidden="1" x14ac:dyDescent="0.25">
      <c r="A104">
        <v>3388643</v>
      </c>
      <c r="B104" t="s">
        <v>138</v>
      </c>
      <c r="C104" t="s">
        <v>123</v>
      </c>
      <c r="D104" s="55" t="s">
        <v>172</v>
      </c>
      <c r="E104" s="66">
        <v>46638</v>
      </c>
      <c r="F104" s="55" t="s">
        <v>173</v>
      </c>
      <c r="G104" t="s">
        <v>175</v>
      </c>
    </row>
    <row r="105" spans="1:7" hidden="1" x14ac:dyDescent="0.25">
      <c r="A105">
        <v>3186221</v>
      </c>
      <c r="B105" t="s">
        <v>125</v>
      </c>
      <c r="C105" t="s">
        <v>90</v>
      </c>
      <c r="D105" s="55" t="s">
        <v>88</v>
      </c>
      <c r="E105" s="66">
        <v>46021</v>
      </c>
      <c r="F105" s="55" t="s">
        <v>89</v>
      </c>
      <c r="G105" t="s">
        <v>175</v>
      </c>
    </row>
    <row r="106" spans="1:7" hidden="1" x14ac:dyDescent="0.25">
      <c r="A106">
        <v>3335845</v>
      </c>
      <c r="B106" t="s">
        <v>138</v>
      </c>
      <c r="C106" t="s">
        <v>123</v>
      </c>
      <c r="D106" s="55" t="s">
        <v>114</v>
      </c>
      <c r="E106" s="66">
        <v>46566</v>
      </c>
      <c r="F106" s="55" t="s">
        <v>122</v>
      </c>
      <c r="G106" t="s">
        <v>175</v>
      </c>
    </row>
    <row r="107" spans="1:7" hidden="1" x14ac:dyDescent="0.25">
      <c r="A107">
        <v>3186304</v>
      </c>
      <c r="B107" t="s">
        <v>125</v>
      </c>
      <c r="C107" t="s">
        <v>92</v>
      </c>
      <c r="D107" s="55" t="s">
        <v>88</v>
      </c>
      <c r="E107" s="66">
        <v>46021</v>
      </c>
      <c r="F107" s="55" t="s">
        <v>89</v>
      </c>
      <c r="G107" t="s">
        <v>175</v>
      </c>
    </row>
    <row r="108" spans="1:7" x14ac:dyDescent="0.25">
      <c r="A108">
        <v>2675816</v>
      </c>
      <c r="B108" t="s">
        <v>138</v>
      </c>
      <c r="C108" t="s">
        <v>140</v>
      </c>
      <c r="D108" s="55" t="s">
        <v>155</v>
      </c>
      <c r="E108" s="66">
        <v>45524</v>
      </c>
      <c r="F108" s="55" t="s">
        <v>170</v>
      </c>
      <c r="G108" t="s">
        <v>174</v>
      </c>
    </row>
    <row r="109" spans="1:7" hidden="1" x14ac:dyDescent="0.25">
      <c r="A109">
        <v>2879849</v>
      </c>
      <c r="B109" t="s">
        <v>138</v>
      </c>
      <c r="C109" t="s">
        <v>101</v>
      </c>
      <c r="D109" s="55" t="s">
        <v>152</v>
      </c>
      <c r="E109" s="66">
        <v>45888</v>
      </c>
      <c r="F109" s="55" t="s">
        <v>166</v>
      </c>
      <c r="G109" t="s">
        <v>175</v>
      </c>
    </row>
    <row r="110" spans="1:7" hidden="1" x14ac:dyDescent="0.25">
      <c r="A110">
        <v>3388651</v>
      </c>
      <c r="B110" t="s">
        <v>138</v>
      </c>
      <c r="C110" t="s">
        <v>123</v>
      </c>
      <c r="D110" s="55" t="s">
        <v>172</v>
      </c>
      <c r="E110" s="66">
        <v>46638</v>
      </c>
      <c r="F110" s="55" t="s">
        <v>173</v>
      </c>
      <c r="G110" t="s">
        <v>175</v>
      </c>
    </row>
    <row r="111" spans="1:7" hidden="1" x14ac:dyDescent="0.25">
      <c r="A111">
        <v>2977467</v>
      </c>
      <c r="B111" t="s">
        <v>138</v>
      </c>
      <c r="C111" t="s">
        <v>140</v>
      </c>
      <c r="D111" s="55" t="s">
        <v>97</v>
      </c>
      <c r="E111" s="66">
        <v>46066</v>
      </c>
      <c r="F111" s="55" t="s">
        <v>98</v>
      </c>
      <c r="G111" t="s">
        <v>175</v>
      </c>
    </row>
    <row r="112" spans="1:7" hidden="1" x14ac:dyDescent="0.25">
      <c r="A112">
        <v>2879689</v>
      </c>
      <c r="B112" t="s">
        <v>138</v>
      </c>
      <c r="C112" t="s">
        <v>140</v>
      </c>
      <c r="D112" s="55" t="s">
        <v>152</v>
      </c>
      <c r="E112" s="66">
        <v>45888</v>
      </c>
      <c r="F112" s="55" t="s">
        <v>166</v>
      </c>
      <c r="G112" t="s">
        <v>175</v>
      </c>
    </row>
    <row r="113" spans="1:7" hidden="1" x14ac:dyDescent="0.25">
      <c r="A113">
        <v>3236113</v>
      </c>
      <c r="B113" t="s">
        <v>125</v>
      </c>
      <c r="C113" t="s">
        <v>92</v>
      </c>
      <c r="D113" s="55" t="s">
        <v>102</v>
      </c>
      <c r="E113" s="66">
        <v>46083</v>
      </c>
      <c r="F113" s="55" t="s">
        <v>103</v>
      </c>
      <c r="G113" t="s">
        <v>175</v>
      </c>
    </row>
    <row r="114" spans="1:7" hidden="1" x14ac:dyDescent="0.25">
      <c r="A114">
        <v>3388654</v>
      </c>
      <c r="B114" t="s">
        <v>138</v>
      </c>
      <c r="C114" t="s">
        <v>123</v>
      </c>
      <c r="D114" s="55" t="s">
        <v>172</v>
      </c>
      <c r="E114" s="66">
        <v>46638</v>
      </c>
      <c r="F114" s="55" t="s">
        <v>173</v>
      </c>
      <c r="G114" t="s">
        <v>175</v>
      </c>
    </row>
    <row r="115" spans="1:7" hidden="1" x14ac:dyDescent="0.25">
      <c r="A115">
        <v>3336264</v>
      </c>
      <c r="B115" t="s">
        <v>138</v>
      </c>
      <c r="C115" t="s">
        <v>142</v>
      </c>
      <c r="D115" s="55" t="s">
        <v>124</v>
      </c>
      <c r="E115" s="66">
        <v>46566</v>
      </c>
      <c r="F115" s="55" t="s">
        <v>122</v>
      </c>
      <c r="G115" t="s">
        <v>175</v>
      </c>
    </row>
    <row r="116" spans="1:7" hidden="1" x14ac:dyDescent="0.25">
      <c r="A116">
        <v>3336184</v>
      </c>
      <c r="B116" t="s">
        <v>138</v>
      </c>
      <c r="C116" t="s">
        <v>140</v>
      </c>
      <c r="D116" s="55" t="s">
        <v>114</v>
      </c>
      <c r="E116" s="66">
        <v>46566</v>
      </c>
      <c r="F116" s="55" t="s">
        <v>122</v>
      </c>
      <c r="G116" t="s">
        <v>175</v>
      </c>
    </row>
    <row r="117" spans="1:7" hidden="1" x14ac:dyDescent="0.25">
      <c r="A117">
        <v>3118514</v>
      </c>
      <c r="B117" t="s">
        <v>138</v>
      </c>
      <c r="C117" t="s">
        <v>99</v>
      </c>
      <c r="D117" s="55" t="s">
        <v>116</v>
      </c>
      <c r="E117" s="66">
        <v>46251</v>
      </c>
      <c r="F117" s="55" t="s">
        <v>117</v>
      </c>
      <c r="G117" t="s">
        <v>175</v>
      </c>
    </row>
    <row r="118" spans="1:7" hidden="1" x14ac:dyDescent="0.25">
      <c r="A118">
        <v>3185935</v>
      </c>
      <c r="B118" t="s">
        <v>138</v>
      </c>
      <c r="C118" t="s">
        <v>101</v>
      </c>
      <c r="D118" s="55" t="s">
        <v>88</v>
      </c>
      <c r="E118" s="66">
        <v>46386</v>
      </c>
      <c r="F118" s="55" t="s">
        <v>120</v>
      </c>
      <c r="G118" t="s">
        <v>175</v>
      </c>
    </row>
    <row r="119" spans="1:7" x14ac:dyDescent="0.25">
      <c r="A119">
        <v>2675817</v>
      </c>
      <c r="B119" t="s">
        <v>138</v>
      </c>
      <c r="C119" t="s">
        <v>140</v>
      </c>
      <c r="D119" s="55" t="s">
        <v>155</v>
      </c>
      <c r="E119" s="66">
        <v>45524</v>
      </c>
      <c r="F119" s="55" t="s">
        <v>170</v>
      </c>
      <c r="G119" t="s">
        <v>174</v>
      </c>
    </row>
    <row r="120" spans="1:7" hidden="1" x14ac:dyDescent="0.25">
      <c r="A120">
        <v>3118406</v>
      </c>
      <c r="B120" t="s">
        <v>138</v>
      </c>
      <c r="C120" t="s">
        <v>99</v>
      </c>
      <c r="D120" s="55" t="s">
        <v>116</v>
      </c>
      <c r="E120" s="66">
        <v>46251</v>
      </c>
      <c r="F120" s="55" t="s">
        <v>117</v>
      </c>
      <c r="G120" t="s">
        <v>175</v>
      </c>
    </row>
    <row r="121" spans="1:7" x14ac:dyDescent="0.25">
      <c r="A121">
        <v>2675747</v>
      </c>
      <c r="B121" t="s">
        <v>138</v>
      </c>
      <c r="C121" t="s">
        <v>99</v>
      </c>
      <c r="D121" s="55" t="s">
        <v>155</v>
      </c>
      <c r="E121" s="66">
        <v>45524</v>
      </c>
      <c r="F121" s="55" t="s">
        <v>170</v>
      </c>
      <c r="G121" t="s">
        <v>174</v>
      </c>
    </row>
    <row r="122" spans="1:7" hidden="1" x14ac:dyDescent="0.25">
      <c r="A122">
        <v>3118494</v>
      </c>
      <c r="B122" t="s">
        <v>138</v>
      </c>
      <c r="C122" t="s">
        <v>140</v>
      </c>
      <c r="D122" s="55" t="s">
        <v>116</v>
      </c>
      <c r="E122" s="66">
        <v>46251</v>
      </c>
      <c r="F122" s="55" t="s">
        <v>117</v>
      </c>
      <c r="G122" t="s">
        <v>175</v>
      </c>
    </row>
    <row r="123" spans="1:7" hidden="1" x14ac:dyDescent="0.25">
      <c r="A123">
        <v>3118500</v>
      </c>
      <c r="B123" t="s">
        <v>138</v>
      </c>
      <c r="C123" t="s">
        <v>101</v>
      </c>
      <c r="D123" s="55" t="s">
        <v>116</v>
      </c>
      <c r="E123" s="66">
        <v>46251</v>
      </c>
      <c r="F123" s="55" t="s">
        <v>117</v>
      </c>
      <c r="G123" t="s">
        <v>175</v>
      </c>
    </row>
    <row r="124" spans="1:7" x14ac:dyDescent="0.25">
      <c r="A124">
        <v>2834651</v>
      </c>
      <c r="B124" t="s">
        <v>138</v>
      </c>
      <c r="C124" t="s">
        <v>142</v>
      </c>
      <c r="D124" s="55" t="s">
        <v>153</v>
      </c>
      <c r="E124" s="66">
        <v>45818</v>
      </c>
      <c r="F124" s="55" t="s">
        <v>167</v>
      </c>
      <c r="G124" t="s">
        <v>174</v>
      </c>
    </row>
    <row r="125" spans="1:7" hidden="1" x14ac:dyDescent="0.25">
      <c r="A125">
        <v>3118498</v>
      </c>
      <c r="B125" t="s">
        <v>138</v>
      </c>
      <c r="C125" t="s">
        <v>140</v>
      </c>
      <c r="D125" s="55" t="s">
        <v>116</v>
      </c>
      <c r="E125" s="66">
        <v>46251</v>
      </c>
      <c r="F125" s="55" t="s">
        <v>117</v>
      </c>
      <c r="G125" t="s">
        <v>175</v>
      </c>
    </row>
    <row r="126" spans="1:7" hidden="1" x14ac:dyDescent="0.25">
      <c r="A126">
        <v>3118511</v>
      </c>
      <c r="B126" t="s">
        <v>138</v>
      </c>
      <c r="C126" t="s">
        <v>99</v>
      </c>
      <c r="D126" s="55" t="s">
        <v>116</v>
      </c>
      <c r="E126" s="66">
        <v>46251</v>
      </c>
      <c r="F126" s="55" t="s">
        <v>117</v>
      </c>
      <c r="G126" t="s">
        <v>175</v>
      </c>
    </row>
    <row r="127" spans="1:7" hidden="1" x14ac:dyDescent="0.25">
      <c r="A127">
        <v>3070343</v>
      </c>
      <c r="B127" t="s">
        <v>138</v>
      </c>
      <c r="C127" t="s">
        <v>101</v>
      </c>
      <c r="D127" s="55" t="s">
        <v>108</v>
      </c>
      <c r="E127" s="66">
        <v>46188</v>
      </c>
      <c r="F127" s="55" t="s">
        <v>109</v>
      </c>
      <c r="G127" t="s">
        <v>175</v>
      </c>
    </row>
    <row r="128" spans="1:7" hidden="1" x14ac:dyDescent="0.25">
      <c r="A128">
        <v>3186220</v>
      </c>
      <c r="B128" t="s">
        <v>125</v>
      </c>
      <c r="C128" t="s">
        <v>90</v>
      </c>
      <c r="D128" s="55" t="s">
        <v>88</v>
      </c>
      <c r="E128" s="66">
        <v>46021</v>
      </c>
      <c r="F128" s="55" t="s">
        <v>89</v>
      </c>
      <c r="G128" t="s">
        <v>175</v>
      </c>
    </row>
    <row r="129" spans="1:7" hidden="1" x14ac:dyDescent="0.25">
      <c r="A129">
        <v>2977636</v>
      </c>
      <c r="B129" t="s">
        <v>138</v>
      </c>
      <c r="C129" t="s">
        <v>100</v>
      </c>
      <c r="D129" s="55" t="s">
        <v>97</v>
      </c>
      <c r="E129" s="66">
        <v>46066</v>
      </c>
      <c r="F129" s="55" t="s">
        <v>98</v>
      </c>
      <c r="G129" t="s">
        <v>175</v>
      </c>
    </row>
    <row r="130" spans="1:7" hidden="1" x14ac:dyDescent="0.25">
      <c r="A130">
        <v>3070360</v>
      </c>
      <c r="B130" t="s">
        <v>138</v>
      </c>
      <c r="C130" t="s">
        <v>100</v>
      </c>
      <c r="D130" s="55" t="s">
        <v>108</v>
      </c>
      <c r="E130" s="66">
        <v>46188</v>
      </c>
      <c r="F130" s="55" t="s">
        <v>109</v>
      </c>
      <c r="G130" t="s">
        <v>175</v>
      </c>
    </row>
    <row r="131" spans="1:7" x14ac:dyDescent="0.25">
      <c r="A131">
        <v>2675826</v>
      </c>
      <c r="B131" t="s">
        <v>138</v>
      </c>
      <c r="C131" t="s">
        <v>140</v>
      </c>
      <c r="D131" s="55" t="s">
        <v>155</v>
      </c>
      <c r="E131" s="66">
        <v>45524</v>
      </c>
      <c r="F131" s="55" t="s">
        <v>170</v>
      </c>
      <c r="G131" t="s">
        <v>174</v>
      </c>
    </row>
    <row r="132" spans="1:7" hidden="1" x14ac:dyDescent="0.25">
      <c r="A132">
        <v>3336171</v>
      </c>
      <c r="B132" t="s">
        <v>138</v>
      </c>
      <c r="C132" t="s">
        <v>140</v>
      </c>
      <c r="D132" s="55" t="s">
        <v>114</v>
      </c>
      <c r="E132" s="66">
        <v>46566</v>
      </c>
      <c r="F132" s="55" t="s">
        <v>122</v>
      </c>
      <c r="G132" t="s">
        <v>175</v>
      </c>
    </row>
    <row r="133" spans="1:7" hidden="1" x14ac:dyDescent="0.25">
      <c r="A133">
        <v>3336177</v>
      </c>
      <c r="B133" t="s">
        <v>138</v>
      </c>
      <c r="C133" t="s">
        <v>140</v>
      </c>
      <c r="D133" s="55" t="s">
        <v>114</v>
      </c>
      <c r="E133" s="66">
        <v>46566</v>
      </c>
      <c r="F133" s="55" t="s">
        <v>122</v>
      </c>
      <c r="G133" t="s">
        <v>175</v>
      </c>
    </row>
    <row r="134" spans="1:7" hidden="1" x14ac:dyDescent="0.25">
      <c r="A134">
        <v>3070351</v>
      </c>
      <c r="B134" t="s">
        <v>138</v>
      </c>
      <c r="C134" t="s">
        <v>99</v>
      </c>
      <c r="D134" s="55" t="s">
        <v>108</v>
      </c>
      <c r="E134" s="66">
        <v>46188</v>
      </c>
      <c r="F134" s="55" t="s">
        <v>109</v>
      </c>
      <c r="G134" t="s">
        <v>175</v>
      </c>
    </row>
    <row r="135" spans="1:7" hidden="1" x14ac:dyDescent="0.25">
      <c r="A135">
        <v>3118503</v>
      </c>
      <c r="B135" t="s">
        <v>138</v>
      </c>
      <c r="C135" t="s">
        <v>101</v>
      </c>
      <c r="D135" s="55" t="s">
        <v>116</v>
      </c>
      <c r="E135" s="66">
        <v>46251</v>
      </c>
      <c r="F135" s="55" t="s">
        <v>117</v>
      </c>
      <c r="G135" t="s">
        <v>175</v>
      </c>
    </row>
    <row r="136" spans="1:7" hidden="1" x14ac:dyDescent="0.25">
      <c r="A136">
        <v>3118506</v>
      </c>
      <c r="B136" t="s">
        <v>138</v>
      </c>
      <c r="C136" t="s">
        <v>101</v>
      </c>
      <c r="D136" s="55" t="s">
        <v>116</v>
      </c>
      <c r="E136" s="66">
        <v>46251</v>
      </c>
      <c r="F136" s="55" t="s">
        <v>117</v>
      </c>
      <c r="G136" t="s">
        <v>175</v>
      </c>
    </row>
    <row r="137" spans="1:7" hidden="1" x14ac:dyDescent="0.25">
      <c r="A137">
        <v>3388644</v>
      </c>
      <c r="B137" t="s">
        <v>138</v>
      </c>
      <c r="C137" t="s">
        <v>123</v>
      </c>
      <c r="D137" s="55" t="s">
        <v>172</v>
      </c>
      <c r="E137" s="66">
        <v>46638</v>
      </c>
      <c r="F137" s="55" t="s">
        <v>173</v>
      </c>
      <c r="G137" t="s">
        <v>175</v>
      </c>
    </row>
    <row r="138" spans="1:7" x14ac:dyDescent="0.25">
      <c r="A138">
        <v>3069982</v>
      </c>
      <c r="B138" t="s">
        <v>125</v>
      </c>
      <c r="C138" t="s">
        <v>91</v>
      </c>
      <c r="D138" s="55" t="s">
        <v>108</v>
      </c>
      <c r="E138" s="66">
        <v>45823</v>
      </c>
      <c r="F138" s="55" t="s">
        <v>169</v>
      </c>
      <c r="G138" t="s">
        <v>174</v>
      </c>
    </row>
    <row r="139" spans="1:7" hidden="1" x14ac:dyDescent="0.25">
      <c r="A139">
        <v>2879848</v>
      </c>
      <c r="B139" t="s">
        <v>138</v>
      </c>
      <c r="C139" t="s">
        <v>101</v>
      </c>
      <c r="D139" s="55" t="s">
        <v>152</v>
      </c>
      <c r="E139" s="66">
        <v>45888</v>
      </c>
      <c r="F139" s="55" t="s">
        <v>166</v>
      </c>
      <c r="G139" t="s">
        <v>175</v>
      </c>
    </row>
    <row r="140" spans="1:7" x14ac:dyDescent="0.25">
      <c r="A140">
        <v>2675829</v>
      </c>
      <c r="B140" t="s">
        <v>138</v>
      </c>
      <c r="C140" t="s">
        <v>140</v>
      </c>
      <c r="D140" s="55" t="s">
        <v>155</v>
      </c>
      <c r="E140" s="66">
        <v>45524</v>
      </c>
      <c r="F140" s="55" t="s">
        <v>170</v>
      </c>
      <c r="G140" t="s">
        <v>174</v>
      </c>
    </row>
    <row r="141" spans="1:7" hidden="1" x14ac:dyDescent="0.25">
      <c r="A141">
        <v>3335848</v>
      </c>
      <c r="B141" t="s">
        <v>138</v>
      </c>
      <c r="C141" t="s">
        <v>123</v>
      </c>
      <c r="D141" s="55" t="s">
        <v>114</v>
      </c>
      <c r="E141" s="66">
        <v>46566</v>
      </c>
      <c r="F141" s="55" t="s">
        <v>122</v>
      </c>
      <c r="G141" t="s">
        <v>175</v>
      </c>
    </row>
    <row r="142" spans="1:7" hidden="1" x14ac:dyDescent="0.25">
      <c r="A142">
        <v>3070296</v>
      </c>
      <c r="B142" t="s">
        <v>138</v>
      </c>
      <c r="C142" t="s">
        <v>140</v>
      </c>
      <c r="D142" s="55" t="s">
        <v>108</v>
      </c>
      <c r="E142" s="66">
        <v>46188</v>
      </c>
      <c r="F142" s="55" t="s">
        <v>109</v>
      </c>
      <c r="G142" t="s">
        <v>175</v>
      </c>
    </row>
    <row r="143" spans="1:7" hidden="1" x14ac:dyDescent="0.25">
      <c r="A143">
        <v>3335834</v>
      </c>
      <c r="B143" t="s">
        <v>138</v>
      </c>
      <c r="C143" t="s">
        <v>123</v>
      </c>
      <c r="D143" s="55" t="s">
        <v>114</v>
      </c>
      <c r="E143" s="66">
        <v>46566</v>
      </c>
      <c r="F143" s="55" t="s">
        <v>122</v>
      </c>
      <c r="G143" t="s">
        <v>175</v>
      </c>
    </row>
    <row r="144" spans="1:7" hidden="1" x14ac:dyDescent="0.25">
      <c r="A144">
        <v>3336173</v>
      </c>
      <c r="B144" t="s">
        <v>138</v>
      </c>
      <c r="C144" t="s">
        <v>140</v>
      </c>
      <c r="D144" s="55" t="s">
        <v>114</v>
      </c>
      <c r="E144" s="66">
        <v>46566</v>
      </c>
      <c r="F144" s="55" t="s">
        <v>122</v>
      </c>
      <c r="G144" t="s">
        <v>175</v>
      </c>
    </row>
    <row r="145" spans="1:7" hidden="1" x14ac:dyDescent="0.25">
      <c r="A145">
        <v>3118510</v>
      </c>
      <c r="B145" t="s">
        <v>138</v>
      </c>
      <c r="C145" t="s">
        <v>99</v>
      </c>
      <c r="D145" s="55" t="s">
        <v>116</v>
      </c>
      <c r="E145" s="66">
        <v>46251</v>
      </c>
      <c r="F145" s="55" t="s">
        <v>117</v>
      </c>
      <c r="G145" t="s">
        <v>175</v>
      </c>
    </row>
    <row r="146" spans="1:7" x14ac:dyDescent="0.25">
      <c r="A146">
        <v>2675822</v>
      </c>
      <c r="B146" t="s">
        <v>138</v>
      </c>
      <c r="C146" t="s">
        <v>140</v>
      </c>
      <c r="D146" s="55" t="s">
        <v>155</v>
      </c>
      <c r="E146" s="66">
        <v>45524</v>
      </c>
      <c r="F146" s="55" t="s">
        <v>170</v>
      </c>
      <c r="G146" t="s">
        <v>174</v>
      </c>
    </row>
    <row r="147" spans="1:7" x14ac:dyDescent="0.25">
      <c r="A147">
        <v>2675823</v>
      </c>
      <c r="B147" t="s">
        <v>138</v>
      </c>
      <c r="C147" t="s">
        <v>140</v>
      </c>
      <c r="D147" s="55" t="s">
        <v>155</v>
      </c>
      <c r="E147" s="66">
        <v>45524</v>
      </c>
      <c r="F147" s="55" t="s">
        <v>170</v>
      </c>
      <c r="G147" t="s">
        <v>174</v>
      </c>
    </row>
    <row r="148" spans="1:7" hidden="1" x14ac:dyDescent="0.25">
      <c r="A148">
        <v>2977230</v>
      </c>
      <c r="B148" t="s">
        <v>138</v>
      </c>
      <c r="C148" t="s">
        <v>99</v>
      </c>
      <c r="D148" s="55" t="s">
        <v>97</v>
      </c>
      <c r="E148" s="66">
        <v>46066</v>
      </c>
      <c r="F148" s="55" t="s">
        <v>98</v>
      </c>
      <c r="G148" t="s">
        <v>175</v>
      </c>
    </row>
    <row r="149" spans="1:7" hidden="1" x14ac:dyDescent="0.25">
      <c r="A149">
        <v>2977746</v>
      </c>
      <c r="B149" t="s">
        <v>138</v>
      </c>
      <c r="C149" t="s">
        <v>101</v>
      </c>
      <c r="D149" s="55" t="s">
        <v>97</v>
      </c>
      <c r="E149" s="66">
        <v>46066</v>
      </c>
      <c r="F149" s="55" t="s">
        <v>98</v>
      </c>
      <c r="G149" t="s">
        <v>175</v>
      </c>
    </row>
    <row r="150" spans="1:7" hidden="1" x14ac:dyDescent="0.25">
      <c r="A150">
        <v>3235914</v>
      </c>
      <c r="B150" t="s">
        <v>138</v>
      </c>
      <c r="C150" t="s">
        <v>142</v>
      </c>
      <c r="D150" s="55" t="s">
        <v>102</v>
      </c>
      <c r="E150" s="66">
        <v>46448</v>
      </c>
      <c r="F150" s="55" t="s">
        <v>121</v>
      </c>
      <c r="G150" t="s">
        <v>175</v>
      </c>
    </row>
    <row r="151" spans="1:7" hidden="1" x14ac:dyDescent="0.25">
      <c r="A151">
        <v>2977465</v>
      </c>
      <c r="B151" t="s">
        <v>138</v>
      </c>
      <c r="C151" t="s">
        <v>140</v>
      </c>
      <c r="D151" s="55" t="s">
        <v>97</v>
      </c>
      <c r="E151" s="66">
        <v>46066</v>
      </c>
      <c r="F151" s="55" t="s">
        <v>98</v>
      </c>
      <c r="G151" t="s">
        <v>175</v>
      </c>
    </row>
    <row r="152" spans="1:7" hidden="1" x14ac:dyDescent="0.25">
      <c r="A152">
        <v>3070345</v>
      </c>
      <c r="B152" t="s">
        <v>138</v>
      </c>
      <c r="C152" t="s">
        <v>101</v>
      </c>
      <c r="D152" s="55" t="s">
        <v>108</v>
      </c>
      <c r="E152" s="66">
        <v>46188</v>
      </c>
      <c r="F152" s="55" t="s">
        <v>109</v>
      </c>
      <c r="G152" t="s">
        <v>175</v>
      </c>
    </row>
    <row r="153" spans="1:7" hidden="1" x14ac:dyDescent="0.25">
      <c r="A153">
        <v>2977751</v>
      </c>
      <c r="B153" t="s">
        <v>138</v>
      </c>
      <c r="C153" t="s">
        <v>101</v>
      </c>
      <c r="D153" s="55" t="s">
        <v>97</v>
      </c>
      <c r="E153" s="66">
        <v>46066</v>
      </c>
      <c r="F153" s="55" t="s">
        <v>98</v>
      </c>
      <c r="G153" t="s">
        <v>175</v>
      </c>
    </row>
    <row r="154" spans="1:7" hidden="1" x14ac:dyDescent="0.25">
      <c r="A154">
        <v>2977473</v>
      </c>
      <c r="B154" t="s">
        <v>138</v>
      </c>
      <c r="C154" t="s">
        <v>140</v>
      </c>
      <c r="D154" s="55" t="s">
        <v>97</v>
      </c>
      <c r="E154" s="66">
        <v>46066</v>
      </c>
      <c r="F154" s="55" t="s">
        <v>98</v>
      </c>
      <c r="G154" t="s">
        <v>175</v>
      </c>
    </row>
    <row r="155" spans="1:7" x14ac:dyDescent="0.25">
      <c r="A155">
        <v>2834841</v>
      </c>
      <c r="B155" t="s">
        <v>138</v>
      </c>
      <c r="C155" t="s">
        <v>140</v>
      </c>
      <c r="D155" s="55" t="s">
        <v>153</v>
      </c>
      <c r="E155" s="66">
        <v>45818</v>
      </c>
      <c r="F155" s="55" t="s">
        <v>167</v>
      </c>
      <c r="G155" t="s">
        <v>174</v>
      </c>
    </row>
    <row r="156" spans="1:7" x14ac:dyDescent="0.25">
      <c r="A156">
        <v>2834845</v>
      </c>
      <c r="B156" t="s">
        <v>138</v>
      </c>
      <c r="C156" t="s">
        <v>140</v>
      </c>
      <c r="D156" s="55" t="s">
        <v>153</v>
      </c>
      <c r="E156" s="66">
        <v>45818</v>
      </c>
      <c r="F156" s="55" t="s">
        <v>167</v>
      </c>
      <c r="G156" t="s">
        <v>174</v>
      </c>
    </row>
    <row r="157" spans="1:7" hidden="1" x14ac:dyDescent="0.25">
      <c r="A157">
        <v>2977635</v>
      </c>
      <c r="B157" t="s">
        <v>138</v>
      </c>
      <c r="C157" t="s">
        <v>100</v>
      </c>
      <c r="D157" s="55" t="s">
        <v>97</v>
      </c>
      <c r="E157" s="66">
        <v>46066</v>
      </c>
      <c r="F157" s="55" t="s">
        <v>98</v>
      </c>
      <c r="G157" t="s">
        <v>175</v>
      </c>
    </row>
    <row r="158" spans="1:7" hidden="1" x14ac:dyDescent="0.25">
      <c r="A158">
        <v>3335698</v>
      </c>
      <c r="B158" t="s">
        <v>138</v>
      </c>
      <c r="C158" t="s">
        <v>99</v>
      </c>
      <c r="D158" s="55" t="s">
        <v>114</v>
      </c>
      <c r="E158" s="66">
        <v>46566</v>
      </c>
      <c r="F158" s="55" t="s">
        <v>122</v>
      </c>
      <c r="G158" t="s">
        <v>175</v>
      </c>
    </row>
    <row r="159" spans="1:7" hidden="1" x14ac:dyDescent="0.25">
      <c r="A159">
        <v>3388645</v>
      </c>
      <c r="B159" t="s">
        <v>138</v>
      </c>
      <c r="C159" t="s">
        <v>123</v>
      </c>
      <c r="D159" s="55" t="s">
        <v>172</v>
      </c>
      <c r="E159" s="66">
        <v>46638</v>
      </c>
      <c r="F159" s="55" t="s">
        <v>173</v>
      </c>
      <c r="G159" t="s">
        <v>175</v>
      </c>
    </row>
    <row r="160" spans="1:7" hidden="1" x14ac:dyDescent="0.25">
      <c r="A160">
        <v>3070322</v>
      </c>
      <c r="B160" t="s">
        <v>138</v>
      </c>
      <c r="C160" t="s">
        <v>140</v>
      </c>
      <c r="D160" s="55" t="s">
        <v>108</v>
      </c>
      <c r="E160" s="66">
        <v>46188</v>
      </c>
      <c r="F160" s="55" t="s">
        <v>109</v>
      </c>
      <c r="G160" t="s">
        <v>175</v>
      </c>
    </row>
    <row r="161" spans="1:7" hidden="1" x14ac:dyDescent="0.25">
      <c r="A161">
        <v>3070315</v>
      </c>
      <c r="B161" t="s">
        <v>138</v>
      </c>
      <c r="C161" t="s">
        <v>140</v>
      </c>
      <c r="D161" s="55" t="s">
        <v>108</v>
      </c>
      <c r="E161" s="66">
        <v>46188</v>
      </c>
      <c r="F161" s="55" t="s">
        <v>109</v>
      </c>
      <c r="G161" t="s">
        <v>175</v>
      </c>
    </row>
    <row r="162" spans="1:7" hidden="1" x14ac:dyDescent="0.25">
      <c r="A162">
        <v>3118509</v>
      </c>
      <c r="B162" t="s">
        <v>138</v>
      </c>
      <c r="C162" t="s">
        <v>99</v>
      </c>
      <c r="D162" s="55" t="s">
        <v>116</v>
      </c>
      <c r="E162" s="66">
        <v>46251</v>
      </c>
      <c r="F162" s="55" t="s">
        <v>117</v>
      </c>
      <c r="G162" t="s">
        <v>175</v>
      </c>
    </row>
    <row r="163" spans="1:7" hidden="1" x14ac:dyDescent="0.25">
      <c r="A163">
        <v>3070336</v>
      </c>
      <c r="B163" t="s">
        <v>138</v>
      </c>
      <c r="C163" t="s">
        <v>101</v>
      </c>
      <c r="D163" s="55" t="s">
        <v>108</v>
      </c>
      <c r="E163" s="66">
        <v>46188</v>
      </c>
      <c r="F163" s="55" t="s">
        <v>109</v>
      </c>
      <c r="G163" t="s">
        <v>175</v>
      </c>
    </row>
    <row r="164" spans="1:7" hidden="1" x14ac:dyDescent="0.25">
      <c r="A164">
        <v>3235895</v>
      </c>
      <c r="B164" t="s">
        <v>138</v>
      </c>
      <c r="C164" t="s">
        <v>140</v>
      </c>
      <c r="D164" s="55" t="s">
        <v>102</v>
      </c>
      <c r="E164" s="66">
        <v>46448</v>
      </c>
      <c r="F164" s="55" t="s">
        <v>121</v>
      </c>
      <c r="G164" t="s">
        <v>175</v>
      </c>
    </row>
    <row r="165" spans="1:7" hidden="1" x14ac:dyDescent="0.25">
      <c r="A165">
        <v>3336460</v>
      </c>
      <c r="B165" t="s">
        <v>138</v>
      </c>
      <c r="C165" t="s">
        <v>101</v>
      </c>
      <c r="D165" s="55" t="s">
        <v>114</v>
      </c>
      <c r="E165" s="66">
        <v>46566</v>
      </c>
      <c r="F165" s="55" t="s">
        <v>122</v>
      </c>
      <c r="G165" t="s">
        <v>175</v>
      </c>
    </row>
    <row r="166" spans="1:7" hidden="1" x14ac:dyDescent="0.25">
      <c r="A166">
        <v>3336463</v>
      </c>
      <c r="B166" t="s">
        <v>138</v>
      </c>
      <c r="C166" t="s">
        <v>101</v>
      </c>
      <c r="D166" s="55" t="s">
        <v>114</v>
      </c>
      <c r="E166" s="66">
        <v>46566</v>
      </c>
      <c r="F166" s="55" t="s">
        <v>122</v>
      </c>
      <c r="G166" t="s">
        <v>175</v>
      </c>
    </row>
    <row r="167" spans="1:7" hidden="1" x14ac:dyDescent="0.25">
      <c r="A167">
        <v>3335840</v>
      </c>
      <c r="B167" t="s">
        <v>138</v>
      </c>
      <c r="C167" t="s">
        <v>123</v>
      </c>
      <c r="D167" s="55" t="s">
        <v>114</v>
      </c>
      <c r="E167" s="66">
        <v>46566</v>
      </c>
      <c r="F167" s="55" t="s">
        <v>122</v>
      </c>
      <c r="G167" t="s">
        <v>175</v>
      </c>
    </row>
    <row r="168" spans="1:7" hidden="1" x14ac:dyDescent="0.25">
      <c r="A168">
        <v>3186631</v>
      </c>
      <c r="B168" t="s">
        <v>138</v>
      </c>
      <c r="C168" t="s">
        <v>140</v>
      </c>
      <c r="D168" s="55" t="s">
        <v>88</v>
      </c>
      <c r="E168" s="66">
        <v>46386</v>
      </c>
      <c r="F168" s="55" t="s">
        <v>120</v>
      </c>
      <c r="G168" t="s">
        <v>175</v>
      </c>
    </row>
    <row r="169" spans="1:7" hidden="1" x14ac:dyDescent="0.25">
      <c r="A169">
        <v>3186282</v>
      </c>
      <c r="B169" t="s">
        <v>125</v>
      </c>
      <c r="C169" t="s">
        <v>91</v>
      </c>
      <c r="D169" s="55" t="s">
        <v>88</v>
      </c>
      <c r="E169" s="66">
        <v>46021</v>
      </c>
      <c r="F169" s="55" t="s">
        <v>89</v>
      </c>
      <c r="G169" t="s">
        <v>175</v>
      </c>
    </row>
    <row r="170" spans="1:7" hidden="1" x14ac:dyDescent="0.25">
      <c r="A170">
        <v>3186285</v>
      </c>
      <c r="B170" t="s">
        <v>125</v>
      </c>
      <c r="C170" t="s">
        <v>91</v>
      </c>
      <c r="D170" s="55" t="s">
        <v>88</v>
      </c>
      <c r="E170" s="66">
        <v>46021</v>
      </c>
      <c r="F170" s="55" t="s">
        <v>89</v>
      </c>
      <c r="G170" t="s">
        <v>175</v>
      </c>
    </row>
    <row r="171" spans="1:7" hidden="1" x14ac:dyDescent="0.25">
      <c r="A171">
        <v>3185927</v>
      </c>
      <c r="B171" t="s">
        <v>138</v>
      </c>
      <c r="C171" t="s">
        <v>101</v>
      </c>
      <c r="D171" s="55" t="s">
        <v>88</v>
      </c>
      <c r="E171" s="66">
        <v>46386</v>
      </c>
      <c r="F171" s="55" t="s">
        <v>120</v>
      </c>
      <c r="G171" t="s">
        <v>175</v>
      </c>
    </row>
    <row r="172" spans="1:7" hidden="1" x14ac:dyDescent="0.25">
      <c r="A172">
        <v>2977470</v>
      </c>
      <c r="B172" t="s">
        <v>138</v>
      </c>
      <c r="C172" t="s">
        <v>140</v>
      </c>
      <c r="D172" s="55" t="s">
        <v>97</v>
      </c>
      <c r="E172" s="66">
        <v>46066</v>
      </c>
      <c r="F172" s="55" t="s">
        <v>98</v>
      </c>
      <c r="G172" t="s">
        <v>175</v>
      </c>
    </row>
    <row r="173" spans="1:7" hidden="1" x14ac:dyDescent="0.25">
      <c r="A173">
        <v>3336174</v>
      </c>
      <c r="B173" t="s">
        <v>138</v>
      </c>
      <c r="C173" t="s">
        <v>140</v>
      </c>
      <c r="D173" s="55" t="s">
        <v>114</v>
      </c>
      <c r="E173" s="66">
        <v>46566</v>
      </c>
      <c r="F173" s="55" t="s">
        <v>122</v>
      </c>
      <c r="G173" t="s">
        <v>175</v>
      </c>
    </row>
    <row r="174" spans="1:7" hidden="1" x14ac:dyDescent="0.25">
      <c r="A174">
        <v>3118493</v>
      </c>
      <c r="B174" t="s">
        <v>138</v>
      </c>
      <c r="C174" t="s">
        <v>140</v>
      </c>
      <c r="D174" s="55" t="s">
        <v>116</v>
      </c>
      <c r="E174" s="66">
        <v>46251</v>
      </c>
      <c r="F174" s="55" t="s">
        <v>117</v>
      </c>
      <c r="G174" t="s">
        <v>175</v>
      </c>
    </row>
    <row r="175" spans="1:7" x14ac:dyDescent="0.25">
      <c r="A175">
        <v>2879754</v>
      </c>
      <c r="B175" t="s">
        <v>125</v>
      </c>
      <c r="C175" t="s">
        <v>139</v>
      </c>
      <c r="D175" s="55" t="s">
        <v>152</v>
      </c>
      <c r="E175" s="66">
        <v>45523</v>
      </c>
      <c r="F175" s="55" t="s">
        <v>171</v>
      </c>
      <c r="G175" t="s">
        <v>174</v>
      </c>
    </row>
    <row r="176" spans="1:7" hidden="1" x14ac:dyDescent="0.25">
      <c r="A176">
        <v>3118496</v>
      </c>
      <c r="B176" t="s">
        <v>138</v>
      </c>
      <c r="C176" t="s">
        <v>140</v>
      </c>
      <c r="D176" s="55" t="s">
        <v>116</v>
      </c>
      <c r="E176" s="66">
        <v>46251</v>
      </c>
      <c r="F176" s="55" t="s">
        <v>117</v>
      </c>
      <c r="G176" t="s">
        <v>175</v>
      </c>
    </row>
    <row r="177" spans="1:7" hidden="1" x14ac:dyDescent="0.25">
      <c r="A177">
        <v>3118499</v>
      </c>
      <c r="B177" t="s">
        <v>138</v>
      </c>
      <c r="C177" t="s">
        <v>140</v>
      </c>
      <c r="D177" s="55" t="s">
        <v>116</v>
      </c>
      <c r="E177" s="66">
        <v>46251</v>
      </c>
      <c r="F177" s="55" t="s">
        <v>117</v>
      </c>
      <c r="G177" t="s">
        <v>175</v>
      </c>
    </row>
    <row r="178" spans="1:7" hidden="1" x14ac:dyDescent="0.25">
      <c r="A178">
        <v>3336181</v>
      </c>
      <c r="B178" t="s">
        <v>138</v>
      </c>
      <c r="C178" t="s">
        <v>140</v>
      </c>
      <c r="D178" s="55" t="s">
        <v>114</v>
      </c>
      <c r="E178" s="66">
        <v>46566</v>
      </c>
      <c r="F178" s="55" t="s">
        <v>122</v>
      </c>
      <c r="G178" t="s">
        <v>175</v>
      </c>
    </row>
    <row r="179" spans="1:7" hidden="1" x14ac:dyDescent="0.25">
      <c r="A179">
        <v>3186284</v>
      </c>
      <c r="B179" t="s">
        <v>125</v>
      </c>
      <c r="C179" t="s">
        <v>91</v>
      </c>
      <c r="D179" s="55" t="s">
        <v>88</v>
      </c>
      <c r="E179" s="66">
        <v>46021</v>
      </c>
      <c r="F179" s="55" t="s">
        <v>89</v>
      </c>
      <c r="G179" t="s">
        <v>175</v>
      </c>
    </row>
    <row r="180" spans="1:7" hidden="1" x14ac:dyDescent="0.25">
      <c r="A180">
        <v>3185933</v>
      </c>
      <c r="B180" t="s">
        <v>138</v>
      </c>
      <c r="C180" t="s">
        <v>101</v>
      </c>
      <c r="D180" s="55" t="s">
        <v>88</v>
      </c>
      <c r="E180" s="66">
        <v>46386</v>
      </c>
      <c r="F180" s="55" t="s">
        <v>120</v>
      </c>
      <c r="G180" t="s">
        <v>175</v>
      </c>
    </row>
    <row r="181" spans="1:7" hidden="1" x14ac:dyDescent="0.25">
      <c r="A181">
        <v>3070350</v>
      </c>
      <c r="B181" t="s">
        <v>138</v>
      </c>
      <c r="C181" t="s">
        <v>99</v>
      </c>
      <c r="D181" s="55" t="s">
        <v>108</v>
      </c>
      <c r="E181" s="66">
        <v>46188</v>
      </c>
      <c r="F181" s="55" t="s">
        <v>109</v>
      </c>
      <c r="G181" t="s">
        <v>175</v>
      </c>
    </row>
    <row r="182" spans="1:7" hidden="1" x14ac:dyDescent="0.25">
      <c r="A182">
        <v>3235894</v>
      </c>
      <c r="B182" t="s">
        <v>138</v>
      </c>
      <c r="C182" t="s">
        <v>140</v>
      </c>
      <c r="D182" s="55" t="s">
        <v>102</v>
      </c>
      <c r="E182" s="66">
        <v>46448</v>
      </c>
      <c r="F182" s="55" t="s">
        <v>121</v>
      </c>
      <c r="G182" t="s">
        <v>175</v>
      </c>
    </row>
    <row r="183" spans="1:7" hidden="1" x14ac:dyDescent="0.25">
      <c r="A183">
        <v>2879692</v>
      </c>
      <c r="B183" t="s">
        <v>138</v>
      </c>
      <c r="C183" t="s">
        <v>140</v>
      </c>
      <c r="D183" s="55" t="s">
        <v>152</v>
      </c>
      <c r="E183" s="66">
        <v>45888</v>
      </c>
      <c r="F183" s="55" t="s">
        <v>166</v>
      </c>
      <c r="G183" t="s">
        <v>175</v>
      </c>
    </row>
    <row r="184" spans="1:7" hidden="1" x14ac:dyDescent="0.25">
      <c r="A184">
        <v>3388638</v>
      </c>
      <c r="B184" t="s">
        <v>138</v>
      </c>
      <c r="C184" t="s">
        <v>123</v>
      </c>
      <c r="D184" s="55" t="s">
        <v>172</v>
      </c>
      <c r="E184" s="66">
        <v>46638</v>
      </c>
      <c r="F184" s="55" t="s">
        <v>173</v>
      </c>
      <c r="G184" t="s">
        <v>175</v>
      </c>
    </row>
    <row r="185" spans="1:7" hidden="1" x14ac:dyDescent="0.25">
      <c r="A185">
        <v>3388653</v>
      </c>
      <c r="B185" t="s">
        <v>138</v>
      </c>
      <c r="C185" t="s">
        <v>123</v>
      </c>
      <c r="D185" s="55" t="s">
        <v>172</v>
      </c>
      <c r="E185" s="66">
        <v>46638</v>
      </c>
      <c r="F185" s="55" t="s">
        <v>173</v>
      </c>
      <c r="G185" t="s">
        <v>175</v>
      </c>
    </row>
    <row r="186" spans="1:7" x14ac:dyDescent="0.25">
      <c r="A186">
        <v>2834847</v>
      </c>
      <c r="B186" t="s">
        <v>138</v>
      </c>
      <c r="C186" t="s">
        <v>140</v>
      </c>
      <c r="D186" s="55" t="s">
        <v>153</v>
      </c>
      <c r="E186" s="66">
        <v>45818</v>
      </c>
      <c r="F186" s="55" t="s">
        <v>167</v>
      </c>
      <c r="G186" t="s">
        <v>174</v>
      </c>
    </row>
    <row r="187" spans="1:7" hidden="1" x14ac:dyDescent="0.25">
      <c r="A187">
        <v>3235892</v>
      </c>
      <c r="B187" t="s">
        <v>138</v>
      </c>
      <c r="C187" t="s">
        <v>140</v>
      </c>
      <c r="D187" s="55" t="s">
        <v>102</v>
      </c>
      <c r="E187" s="66">
        <v>46448</v>
      </c>
      <c r="F187" s="55" t="s">
        <v>121</v>
      </c>
      <c r="G187" t="s">
        <v>175</v>
      </c>
    </row>
    <row r="188" spans="1:7" hidden="1" x14ac:dyDescent="0.25">
      <c r="A188">
        <v>2879838</v>
      </c>
      <c r="B188" t="s">
        <v>138</v>
      </c>
      <c r="C188" t="s">
        <v>101</v>
      </c>
      <c r="D188" s="55" t="s">
        <v>152</v>
      </c>
      <c r="E188" s="66">
        <v>45888</v>
      </c>
      <c r="F188" s="55" t="s">
        <v>166</v>
      </c>
      <c r="G188" t="s">
        <v>175</v>
      </c>
    </row>
    <row r="189" spans="1:7" hidden="1" x14ac:dyDescent="0.25">
      <c r="A189">
        <v>3070348</v>
      </c>
      <c r="B189" t="s">
        <v>138</v>
      </c>
      <c r="C189" t="s">
        <v>99</v>
      </c>
      <c r="D189" s="55" t="s">
        <v>108</v>
      </c>
      <c r="E189" s="66">
        <v>46188</v>
      </c>
      <c r="F189" s="55" t="s">
        <v>109</v>
      </c>
      <c r="G189" t="s">
        <v>175</v>
      </c>
    </row>
    <row r="190" spans="1:7" hidden="1" x14ac:dyDescent="0.25">
      <c r="A190">
        <v>3335846</v>
      </c>
      <c r="B190" t="s">
        <v>138</v>
      </c>
      <c r="C190" t="s">
        <v>123</v>
      </c>
      <c r="D190" s="55" t="s">
        <v>114</v>
      </c>
      <c r="E190" s="66">
        <v>46566</v>
      </c>
      <c r="F190" s="55" t="s">
        <v>122</v>
      </c>
      <c r="G190" t="s">
        <v>175</v>
      </c>
    </row>
    <row r="191" spans="1:7" hidden="1" x14ac:dyDescent="0.25">
      <c r="A191">
        <v>3336467</v>
      </c>
      <c r="B191" t="s">
        <v>138</v>
      </c>
      <c r="C191" t="s">
        <v>101</v>
      </c>
      <c r="D191" s="55" t="s">
        <v>114</v>
      </c>
      <c r="E191" s="66">
        <v>46566</v>
      </c>
      <c r="F191" s="55" t="s">
        <v>122</v>
      </c>
      <c r="G191" t="s">
        <v>175</v>
      </c>
    </row>
    <row r="192" spans="1:7" x14ac:dyDescent="0.25">
      <c r="A192">
        <v>2758230</v>
      </c>
      <c r="B192" t="s">
        <v>138</v>
      </c>
      <c r="C192" t="s">
        <v>142</v>
      </c>
      <c r="D192" s="55" t="s">
        <v>154</v>
      </c>
      <c r="E192" s="66">
        <v>45702</v>
      </c>
      <c r="F192" s="55" t="s">
        <v>168</v>
      </c>
      <c r="G192" t="s">
        <v>174</v>
      </c>
    </row>
    <row r="193" spans="1:7" hidden="1" x14ac:dyDescent="0.25">
      <c r="A193">
        <v>3388650</v>
      </c>
      <c r="B193" t="s">
        <v>138</v>
      </c>
      <c r="C193" t="s">
        <v>123</v>
      </c>
      <c r="D193" s="55" t="s">
        <v>172</v>
      </c>
      <c r="E193" s="66">
        <v>46638</v>
      </c>
      <c r="F193" s="55" t="s">
        <v>173</v>
      </c>
      <c r="G193" t="s">
        <v>175</v>
      </c>
    </row>
    <row r="194" spans="1:7" hidden="1" x14ac:dyDescent="0.25">
      <c r="A194">
        <v>3388658</v>
      </c>
      <c r="B194" t="s">
        <v>138</v>
      </c>
      <c r="C194" t="s">
        <v>123</v>
      </c>
      <c r="D194" s="55" t="s">
        <v>172</v>
      </c>
      <c r="E194" s="66">
        <v>46638</v>
      </c>
      <c r="F194" s="55" t="s">
        <v>173</v>
      </c>
      <c r="G194" t="s">
        <v>175</v>
      </c>
    </row>
    <row r="195" spans="1:7" x14ac:dyDescent="0.25">
      <c r="A195">
        <v>2834844</v>
      </c>
      <c r="B195" t="s">
        <v>138</v>
      </c>
      <c r="C195" t="s">
        <v>140</v>
      </c>
      <c r="D195" s="55" t="s">
        <v>153</v>
      </c>
      <c r="E195" s="66">
        <v>45818</v>
      </c>
      <c r="F195" s="55" t="s">
        <v>167</v>
      </c>
      <c r="G195" t="s">
        <v>174</v>
      </c>
    </row>
    <row r="196" spans="1:7" hidden="1" x14ac:dyDescent="0.25">
      <c r="A196">
        <v>3070320</v>
      </c>
      <c r="B196" t="s">
        <v>138</v>
      </c>
      <c r="C196" t="s">
        <v>140</v>
      </c>
      <c r="D196" s="55" t="s">
        <v>108</v>
      </c>
      <c r="E196" s="66">
        <v>46188</v>
      </c>
      <c r="F196" s="55" t="s">
        <v>109</v>
      </c>
      <c r="G196" t="s">
        <v>175</v>
      </c>
    </row>
    <row r="197" spans="1:7" hidden="1" x14ac:dyDescent="0.25">
      <c r="A197">
        <v>3070341</v>
      </c>
      <c r="B197" t="s">
        <v>138</v>
      </c>
      <c r="C197" t="s">
        <v>101</v>
      </c>
      <c r="D197" s="55" t="s">
        <v>108</v>
      </c>
      <c r="E197" s="66">
        <v>46188</v>
      </c>
      <c r="F197" s="55" t="s">
        <v>109</v>
      </c>
      <c r="G197" t="s">
        <v>175</v>
      </c>
    </row>
    <row r="198" spans="1:7" hidden="1" x14ac:dyDescent="0.25">
      <c r="A198">
        <v>3235893</v>
      </c>
      <c r="B198" t="s">
        <v>138</v>
      </c>
      <c r="C198" t="s">
        <v>140</v>
      </c>
      <c r="D198" s="55" t="s">
        <v>102</v>
      </c>
      <c r="E198" s="66">
        <v>46448</v>
      </c>
      <c r="F198" s="55" t="s">
        <v>121</v>
      </c>
      <c r="G198" t="s">
        <v>175</v>
      </c>
    </row>
    <row r="199" spans="1:7" hidden="1" x14ac:dyDescent="0.25">
      <c r="A199">
        <v>3070319</v>
      </c>
      <c r="B199" t="s">
        <v>138</v>
      </c>
      <c r="C199" t="s">
        <v>140</v>
      </c>
      <c r="D199" s="55" t="s">
        <v>108</v>
      </c>
      <c r="E199" s="66">
        <v>46188</v>
      </c>
      <c r="F199" s="55" t="s">
        <v>109</v>
      </c>
      <c r="G199" t="s">
        <v>175</v>
      </c>
    </row>
    <row r="200" spans="1:7" hidden="1" x14ac:dyDescent="0.25">
      <c r="A200">
        <v>3070335</v>
      </c>
      <c r="B200" t="s">
        <v>138</v>
      </c>
      <c r="C200" t="s">
        <v>101</v>
      </c>
      <c r="D200" s="55" t="s">
        <v>108</v>
      </c>
      <c r="E200" s="66">
        <v>46188</v>
      </c>
      <c r="F200" s="55" t="s">
        <v>109</v>
      </c>
      <c r="G200" t="s">
        <v>175</v>
      </c>
    </row>
    <row r="201" spans="1:7" hidden="1" x14ac:dyDescent="0.25">
      <c r="A201">
        <v>3336172</v>
      </c>
      <c r="B201" t="s">
        <v>138</v>
      </c>
      <c r="C201" t="s">
        <v>140</v>
      </c>
      <c r="D201" s="55" t="s">
        <v>114</v>
      </c>
      <c r="E201" s="66">
        <v>46566</v>
      </c>
      <c r="F201" s="55" t="s">
        <v>122</v>
      </c>
      <c r="G201" t="s">
        <v>175</v>
      </c>
    </row>
    <row r="202" spans="1:7" hidden="1" x14ac:dyDescent="0.25">
      <c r="A202">
        <v>3388652</v>
      </c>
      <c r="B202" t="s">
        <v>138</v>
      </c>
      <c r="C202" t="s">
        <v>123</v>
      </c>
      <c r="D202" s="55" t="s">
        <v>172</v>
      </c>
      <c r="E202" s="66">
        <v>46638</v>
      </c>
      <c r="F202" s="55" t="s">
        <v>173</v>
      </c>
      <c r="G202" t="s">
        <v>175</v>
      </c>
    </row>
    <row r="203" spans="1:7" hidden="1" x14ac:dyDescent="0.25">
      <c r="A203">
        <v>3070325</v>
      </c>
      <c r="B203" t="s">
        <v>138</v>
      </c>
      <c r="C203" t="s">
        <v>140</v>
      </c>
      <c r="D203" s="55" t="s">
        <v>108</v>
      </c>
      <c r="E203" s="66">
        <v>46188</v>
      </c>
      <c r="F203" s="55" t="s">
        <v>109</v>
      </c>
      <c r="G203" t="s">
        <v>175</v>
      </c>
    </row>
    <row r="204" spans="1:7" hidden="1" x14ac:dyDescent="0.25">
      <c r="A204">
        <v>3235974</v>
      </c>
      <c r="B204" t="s">
        <v>138</v>
      </c>
      <c r="C204" t="s">
        <v>101</v>
      </c>
      <c r="D204" s="55" t="s">
        <v>102</v>
      </c>
      <c r="E204" s="66">
        <v>46448</v>
      </c>
      <c r="F204" s="55" t="s">
        <v>121</v>
      </c>
      <c r="G204" t="s">
        <v>175</v>
      </c>
    </row>
    <row r="205" spans="1:7" hidden="1" x14ac:dyDescent="0.25">
      <c r="A205">
        <v>3134550</v>
      </c>
      <c r="B205" t="s">
        <v>138</v>
      </c>
      <c r="C205" t="s">
        <v>140</v>
      </c>
      <c r="D205" s="55" t="s">
        <v>118</v>
      </c>
      <c r="E205" s="66">
        <v>46273</v>
      </c>
      <c r="F205" s="55" t="s">
        <v>119</v>
      </c>
      <c r="G205" t="s">
        <v>175</v>
      </c>
    </row>
    <row r="206" spans="1:7" hidden="1" x14ac:dyDescent="0.25">
      <c r="A206">
        <v>3070337</v>
      </c>
      <c r="B206" t="s">
        <v>138</v>
      </c>
      <c r="C206" t="s">
        <v>101</v>
      </c>
      <c r="D206" s="55" t="s">
        <v>108</v>
      </c>
      <c r="E206" s="66">
        <v>46188</v>
      </c>
      <c r="F206" s="55" t="s">
        <v>109</v>
      </c>
      <c r="G206" t="s">
        <v>175</v>
      </c>
    </row>
    <row r="207" spans="1:7" hidden="1" x14ac:dyDescent="0.25">
      <c r="A207">
        <v>3134621</v>
      </c>
      <c r="B207" t="s">
        <v>138</v>
      </c>
      <c r="C207" t="s">
        <v>140</v>
      </c>
      <c r="D207" s="55" t="s">
        <v>118</v>
      </c>
      <c r="E207" s="66">
        <v>46273</v>
      </c>
      <c r="F207" s="55" t="s">
        <v>119</v>
      </c>
      <c r="G207" t="s">
        <v>175</v>
      </c>
    </row>
    <row r="208" spans="1:7" hidden="1" x14ac:dyDescent="0.25">
      <c r="A208">
        <v>2977754</v>
      </c>
      <c r="B208" t="s">
        <v>138</v>
      </c>
      <c r="C208" t="s">
        <v>101</v>
      </c>
      <c r="D208" s="55" t="s">
        <v>97</v>
      </c>
      <c r="E208" s="66">
        <v>46066</v>
      </c>
      <c r="F208" s="55" t="s">
        <v>98</v>
      </c>
      <c r="G208" t="s">
        <v>175</v>
      </c>
    </row>
    <row r="209" spans="1:7" hidden="1" x14ac:dyDescent="0.25">
      <c r="A209">
        <v>3388639</v>
      </c>
      <c r="B209" t="s">
        <v>138</v>
      </c>
      <c r="C209" t="s">
        <v>123</v>
      </c>
      <c r="D209" s="55" t="s">
        <v>172</v>
      </c>
      <c r="E209" s="66">
        <v>46638</v>
      </c>
      <c r="F209" s="55" t="s">
        <v>173</v>
      </c>
      <c r="G209" t="s">
        <v>175</v>
      </c>
    </row>
    <row r="210" spans="1:7" hidden="1" x14ac:dyDescent="0.25">
      <c r="A210">
        <v>3388641</v>
      </c>
      <c r="B210" t="s">
        <v>138</v>
      </c>
      <c r="C210" t="s">
        <v>123</v>
      </c>
      <c r="D210" s="55" t="s">
        <v>172</v>
      </c>
      <c r="E210" s="66">
        <v>46638</v>
      </c>
      <c r="F210" s="55" t="s">
        <v>173</v>
      </c>
      <c r="G210" t="s">
        <v>175</v>
      </c>
    </row>
    <row r="211" spans="1:7" hidden="1" x14ac:dyDescent="0.25">
      <c r="A211">
        <v>2977472</v>
      </c>
      <c r="B211" t="s">
        <v>138</v>
      </c>
      <c r="C211" t="s">
        <v>140</v>
      </c>
      <c r="D211" s="55" t="s">
        <v>97</v>
      </c>
      <c r="E211" s="66">
        <v>46066</v>
      </c>
      <c r="F211" s="55" t="s">
        <v>98</v>
      </c>
      <c r="G211" t="s">
        <v>175</v>
      </c>
    </row>
    <row r="212" spans="1:7" hidden="1" x14ac:dyDescent="0.25">
      <c r="A212">
        <v>3118491</v>
      </c>
      <c r="B212" t="s">
        <v>138</v>
      </c>
      <c r="C212" t="s">
        <v>140</v>
      </c>
      <c r="D212" s="55" t="s">
        <v>116</v>
      </c>
      <c r="E212" s="66">
        <v>46251</v>
      </c>
      <c r="F212" s="55" t="s">
        <v>117</v>
      </c>
      <c r="G212" t="s">
        <v>175</v>
      </c>
    </row>
    <row r="213" spans="1:7" hidden="1" x14ac:dyDescent="0.25">
      <c r="A213">
        <v>3236103</v>
      </c>
      <c r="B213" t="s">
        <v>125</v>
      </c>
      <c r="C213" t="s">
        <v>91</v>
      </c>
      <c r="D213" s="55" t="s">
        <v>102</v>
      </c>
      <c r="E213" s="66">
        <v>46083</v>
      </c>
      <c r="F213" s="55" t="s">
        <v>103</v>
      </c>
      <c r="G213" t="s">
        <v>175</v>
      </c>
    </row>
    <row r="214" spans="1:7" hidden="1" x14ac:dyDescent="0.25">
      <c r="A214">
        <v>2879699</v>
      </c>
      <c r="B214" t="s">
        <v>138</v>
      </c>
      <c r="C214" t="s">
        <v>140</v>
      </c>
      <c r="D214" s="55" t="s">
        <v>152</v>
      </c>
      <c r="E214" s="66">
        <v>45888</v>
      </c>
      <c r="F214" s="55" t="s">
        <v>166</v>
      </c>
      <c r="G214" t="s">
        <v>175</v>
      </c>
    </row>
    <row r="215" spans="1:7" x14ac:dyDescent="0.25">
      <c r="A215">
        <v>2834840</v>
      </c>
      <c r="B215" t="s">
        <v>138</v>
      </c>
      <c r="C215" t="s">
        <v>140</v>
      </c>
      <c r="D215" s="55" t="s">
        <v>153</v>
      </c>
      <c r="E215" s="66">
        <v>45818</v>
      </c>
      <c r="F215" s="55" t="s">
        <v>167</v>
      </c>
      <c r="G215" t="s">
        <v>174</v>
      </c>
    </row>
    <row r="216" spans="1:7" hidden="1" x14ac:dyDescent="0.25">
      <c r="A216">
        <v>2879694</v>
      </c>
      <c r="B216" t="s">
        <v>138</v>
      </c>
      <c r="C216" t="s">
        <v>140</v>
      </c>
      <c r="D216" s="55" t="s">
        <v>152</v>
      </c>
      <c r="E216" s="66">
        <v>45888</v>
      </c>
      <c r="F216" s="55" t="s">
        <v>166</v>
      </c>
      <c r="G216" t="s">
        <v>175</v>
      </c>
    </row>
    <row r="217" spans="1:7" hidden="1" x14ac:dyDescent="0.25">
      <c r="A217">
        <v>2977744</v>
      </c>
      <c r="B217" t="s">
        <v>138</v>
      </c>
      <c r="C217" t="s">
        <v>101</v>
      </c>
      <c r="D217" s="55" t="s">
        <v>97</v>
      </c>
      <c r="E217" s="66">
        <v>46066</v>
      </c>
      <c r="F217" s="55" t="s">
        <v>98</v>
      </c>
      <c r="G217" t="s">
        <v>175</v>
      </c>
    </row>
    <row r="218" spans="1:7" hidden="1" x14ac:dyDescent="0.25">
      <c r="A218">
        <v>2977227</v>
      </c>
      <c r="B218" t="s">
        <v>138</v>
      </c>
      <c r="C218" t="s">
        <v>99</v>
      </c>
      <c r="D218" s="55" t="s">
        <v>97</v>
      </c>
      <c r="E218" s="66">
        <v>46066</v>
      </c>
      <c r="F218" s="55" t="s">
        <v>98</v>
      </c>
      <c r="G218" t="s">
        <v>175</v>
      </c>
    </row>
    <row r="219" spans="1:7" hidden="1" x14ac:dyDescent="0.25">
      <c r="A219">
        <v>2977471</v>
      </c>
      <c r="B219" t="s">
        <v>138</v>
      </c>
      <c r="C219" t="s">
        <v>140</v>
      </c>
      <c r="D219" s="55" t="s">
        <v>97</v>
      </c>
      <c r="E219" s="66">
        <v>46066</v>
      </c>
      <c r="F219" s="55" t="s">
        <v>98</v>
      </c>
      <c r="G219" t="s">
        <v>175</v>
      </c>
    </row>
    <row r="220" spans="1:7" hidden="1" x14ac:dyDescent="0.25">
      <c r="A220">
        <v>3388656</v>
      </c>
      <c r="B220" t="s">
        <v>138</v>
      </c>
      <c r="C220" t="s">
        <v>123</v>
      </c>
      <c r="D220" s="55" t="s">
        <v>172</v>
      </c>
      <c r="E220" s="66">
        <v>46638</v>
      </c>
      <c r="F220" s="55" t="s">
        <v>173</v>
      </c>
      <c r="G220" t="s">
        <v>175</v>
      </c>
    </row>
    <row r="221" spans="1:7" hidden="1" x14ac:dyDescent="0.25">
      <c r="A221">
        <v>2977760</v>
      </c>
      <c r="B221" t="s">
        <v>138</v>
      </c>
      <c r="C221" t="s">
        <v>101</v>
      </c>
      <c r="D221" s="55" t="s">
        <v>97</v>
      </c>
      <c r="E221" s="66">
        <v>46066</v>
      </c>
      <c r="F221" s="55" t="s">
        <v>98</v>
      </c>
      <c r="G221" t="s">
        <v>175</v>
      </c>
    </row>
    <row r="222" spans="1:7" hidden="1" x14ac:dyDescent="0.25">
      <c r="A222">
        <v>3118505</v>
      </c>
      <c r="B222" t="s">
        <v>138</v>
      </c>
      <c r="C222" t="s">
        <v>101</v>
      </c>
      <c r="D222" s="55" t="s">
        <v>116</v>
      </c>
      <c r="E222" s="66">
        <v>46251</v>
      </c>
      <c r="F222" s="55" t="s">
        <v>117</v>
      </c>
      <c r="G222" t="s">
        <v>175</v>
      </c>
    </row>
    <row r="223" spans="1:7" hidden="1" x14ac:dyDescent="0.25">
      <c r="A223">
        <v>2879695</v>
      </c>
      <c r="B223" t="s">
        <v>138</v>
      </c>
      <c r="C223" t="s">
        <v>140</v>
      </c>
      <c r="D223" s="55" t="s">
        <v>152</v>
      </c>
      <c r="E223" s="66">
        <v>45888</v>
      </c>
      <c r="F223" s="55" t="s">
        <v>166</v>
      </c>
      <c r="G223" t="s">
        <v>175</v>
      </c>
    </row>
    <row r="224" spans="1:7" hidden="1" x14ac:dyDescent="0.25">
      <c r="A224">
        <v>2879697</v>
      </c>
      <c r="B224" t="s">
        <v>138</v>
      </c>
      <c r="C224" t="s">
        <v>140</v>
      </c>
      <c r="D224" s="55" t="s">
        <v>152</v>
      </c>
      <c r="E224" s="66">
        <v>45888</v>
      </c>
      <c r="F224" s="55" t="s">
        <v>166</v>
      </c>
      <c r="G224" t="s">
        <v>175</v>
      </c>
    </row>
    <row r="225" spans="1:7" hidden="1" x14ac:dyDescent="0.25">
      <c r="A225">
        <v>3235976</v>
      </c>
      <c r="B225" t="s">
        <v>138</v>
      </c>
      <c r="C225" t="s">
        <v>101</v>
      </c>
      <c r="D225" s="55" t="s">
        <v>102</v>
      </c>
      <c r="E225" s="66">
        <v>46448</v>
      </c>
      <c r="F225" s="55" t="s">
        <v>121</v>
      </c>
      <c r="G225" t="s">
        <v>175</v>
      </c>
    </row>
    <row r="226" spans="1:7" hidden="1" x14ac:dyDescent="0.25">
      <c r="A226">
        <v>2977763</v>
      </c>
      <c r="B226" t="s">
        <v>138</v>
      </c>
      <c r="C226" t="s">
        <v>101</v>
      </c>
      <c r="D226" s="55" t="s">
        <v>97</v>
      </c>
      <c r="E226" s="66">
        <v>46066</v>
      </c>
      <c r="F226" s="55" t="s">
        <v>98</v>
      </c>
      <c r="G226" t="s">
        <v>175</v>
      </c>
    </row>
    <row r="227" spans="1:7" hidden="1" x14ac:dyDescent="0.25">
      <c r="A227">
        <v>2879690</v>
      </c>
      <c r="B227" t="s">
        <v>138</v>
      </c>
      <c r="C227" t="s">
        <v>140</v>
      </c>
      <c r="D227" s="55" t="s">
        <v>152</v>
      </c>
      <c r="E227" s="66">
        <v>45888</v>
      </c>
      <c r="F227" s="55" t="s">
        <v>166</v>
      </c>
      <c r="G227" t="s">
        <v>175</v>
      </c>
    </row>
    <row r="228" spans="1:7" x14ac:dyDescent="0.25">
      <c r="A228">
        <v>2834839</v>
      </c>
      <c r="B228" t="s">
        <v>138</v>
      </c>
      <c r="C228" t="s">
        <v>140</v>
      </c>
      <c r="D228" s="55" t="s">
        <v>153</v>
      </c>
      <c r="E228" s="66">
        <v>45818</v>
      </c>
      <c r="F228" s="55" t="s">
        <v>167</v>
      </c>
      <c r="G228" t="s">
        <v>174</v>
      </c>
    </row>
    <row r="229" spans="1:7" x14ac:dyDescent="0.25">
      <c r="A229">
        <v>2834851</v>
      </c>
      <c r="B229" t="s">
        <v>138</v>
      </c>
      <c r="C229" t="s">
        <v>140</v>
      </c>
      <c r="D229" s="55" t="s">
        <v>153</v>
      </c>
      <c r="E229" s="66">
        <v>45818</v>
      </c>
      <c r="F229" s="55" t="s">
        <v>167</v>
      </c>
      <c r="G229" t="s">
        <v>174</v>
      </c>
    </row>
    <row r="230" spans="1:7" hidden="1" x14ac:dyDescent="0.25">
      <c r="A230">
        <v>2977752</v>
      </c>
      <c r="B230" t="s">
        <v>138</v>
      </c>
      <c r="C230" t="s">
        <v>101</v>
      </c>
      <c r="D230" s="55" t="s">
        <v>97</v>
      </c>
      <c r="E230" s="66">
        <v>46066</v>
      </c>
      <c r="F230" s="55" t="s">
        <v>98</v>
      </c>
      <c r="G230" t="s">
        <v>175</v>
      </c>
    </row>
    <row r="231" spans="1:7" hidden="1" x14ac:dyDescent="0.25">
      <c r="A231">
        <v>3336466</v>
      </c>
      <c r="B231" t="s">
        <v>138</v>
      </c>
      <c r="C231" t="s">
        <v>101</v>
      </c>
      <c r="D231" s="55" t="s">
        <v>114</v>
      </c>
      <c r="E231" s="66">
        <v>46566</v>
      </c>
      <c r="F231" s="55" t="s">
        <v>122</v>
      </c>
      <c r="G231" t="s">
        <v>175</v>
      </c>
    </row>
    <row r="232" spans="1:7" hidden="1" x14ac:dyDescent="0.25">
      <c r="A232">
        <v>3185930</v>
      </c>
      <c r="B232" t="s">
        <v>138</v>
      </c>
      <c r="C232" t="s">
        <v>101</v>
      </c>
      <c r="D232" s="55" t="s">
        <v>88</v>
      </c>
      <c r="E232" s="66">
        <v>46386</v>
      </c>
      <c r="F232" s="55" t="s">
        <v>120</v>
      </c>
      <c r="G232" t="s">
        <v>175</v>
      </c>
    </row>
    <row r="233" spans="1:7" hidden="1" x14ac:dyDescent="0.25">
      <c r="A233">
        <v>2879840</v>
      </c>
      <c r="B233" t="s">
        <v>138</v>
      </c>
      <c r="C233" t="s">
        <v>101</v>
      </c>
      <c r="D233" s="55" t="s">
        <v>152</v>
      </c>
      <c r="E233" s="66">
        <v>45888</v>
      </c>
      <c r="F233" s="55" t="s">
        <v>166</v>
      </c>
      <c r="G233" t="s">
        <v>175</v>
      </c>
    </row>
    <row r="234" spans="1:7" hidden="1" x14ac:dyDescent="0.25">
      <c r="A234">
        <v>2879572</v>
      </c>
      <c r="B234" t="s">
        <v>138</v>
      </c>
      <c r="C234" t="s">
        <v>99</v>
      </c>
      <c r="D234" s="55" t="s">
        <v>152</v>
      </c>
      <c r="E234" s="66">
        <v>45888</v>
      </c>
      <c r="F234" s="55" t="s">
        <v>166</v>
      </c>
      <c r="G234" t="s">
        <v>175</v>
      </c>
    </row>
    <row r="235" spans="1:7" hidden="1" x14ac:dyDescent="0.25">
      <c r="A235">
        <v>3118501</v>
      </c>
      <c r="B235" t="s">
        <v>138</v>
      </c>
      <c r="C235" t="s">
        <v>101</v>
      </c>
      <c r="D235" s="55" t="s">
        <v>116</v>
      </c>
      <c r="E235" s="66">
        <v>46251</v>
      </c>
      <c r="F235" s="55" t="s">
        <v>117</v>
      </c>
      <c r="G235" t="s">
        <v>175</v>
      </c>
    </row>
    <row r="236" spans="1:7" x14ac:dyDescent="0.25">
      <c r="A236">
        <v>2834854</v>
      </c>
      <c r="B236" t="s">
        <v>138</v>
      </c>
      <c r="C236" t="s">
        <v>140</v>
      </c>
      <c r="D236" s="55" t="s">
        <v>153</v>
      </c>
      <c r="E236" s="66">
        <v>45818</v>
      </c>
      <c r="F236" s="55" t="s">
        <v>167</v>
      </c>
      <c r="G236" t="s">
        <v>174</v>
      </c>
    </row>
    <row r="237" spans="1:7" hidden="1" x14ac:dyDescent="0.25">
      <c r="A237">
        <v>2977743</v>
      </c>
      <c r="B237" t="s">
        <v>138</v>
      </c>
      <c r="C237" t="s">
        <v>101</v>
      </c>
      <c r="D237" s="55" t="s">
        <v>97</v>
      </c>
      <c r="E237" s="66">
        <v>46066</v>
      </c>
      <c r="F237" s="55" t="s">
        <v>98</v>
      </c>
      <c r="G237" t="s">
        <v>175</v>
      </c>
    </row>
    <row r="238" spans="1:7" hidden="1" x14ac:dyDescent="0.25">
      <c r="A238">
        <v>2977457</v>
      </c>
      <c r="B238" t="s">
        <v>138</v>
      </c>
      <c r="C238" t="s">
        <v>140</v>
      </c>
      <c r="D238" s="55" t="s">
        <v>97</v>
      </c>
      <c r="E238" s="66">
        <v>46066</v>
      </c>
      <c r="F238" s="55" t="s">
        <v>98</v>
      </c>
      <c r="G238" t="s">
        <v>175</v>
      </c>
    </row>
    <row r="239" spans="1:7" hidden="1" x14ac:dyDescent="0.25">
      <c r="A239">
        <v>2879696</v>
      </c>
      <c r="B239" t="s">
        <v>138</v>
      </c>
      <c r="C239" t="s">
        <v>140</v>
      </c>
      <c r="D239" s="55" t="s">
        <v>152</v>
      </c>
      <c r="E239" s="66">
        <v>45888</v>
      </c>
      <c r="F239" s="55" t="s">
        <v>166</v>
      </c>
      <c r="G239" t="s">
        <v>175</v>
      </c>
    </row>
    <row r="240" spans="1:7" hidden="1" x14ac:dyDescent="0.25">
      <c r="A240">
        <v>2977749</v>
      </c>
      <c r="B240" t="s">
        <v>138</v>
      </c>
      <c r="C240" t="s">
        <v>101</v>
      </c>
      <c r="D240" s="55" t="s">
        <v>97</v>
      </c>
      <c r="E240" s="66">
        <v>46066</v>
      </c>
      <c r="F240" s="55" t="s">
        <v>98</v>
      </c>
      <c r="G240" t="s">
        <v>175</v>
      </c>
    </row>
    <row r="241" spans="1:7" hidden="1" x14ac:dyDescent="0.25">
      <c r="A241">
        <v>3388655</v>
      </c>
      <c r="B241" t="s">
        <v>138</v>
      </c>
      <c r="C241" t="s">
        <v>123</v>
      </c>
      <c r="D241" s="55" t="s">
        <v>172</v>
      </c>
      <c r="E241" s="66">
        <v>46638</v>
      </c>
      <c r="F241" s="55" t="s">
        <v>173</v>
      </c>
      <c r="G241" t="s">
        <v>175</v>
      </c>
    </row>
    <row r="242" spans="1:7" hidden="1" x14ac:dyDescent="0.25">
      <c r="A242">
        <v>3070317</v>
      </c>
      <c r="B242" t="s">
        <v>138</v>
      </c>
      <c r="C242" t="s">
        <v>140</v>
      </c>
      <c r="D242" s="55" t="s">
        <v>108</v>
      </c>
      <c r="E242" s="66">
        <v>46188</v>
      </c>
      <c r="F242" s="55" t="s">
        <v>109</v>
      </c>
      <c r="G242" t="s">
        <v>175</v>
      </c>
    </row>
    <row r="243" spans="1:7" hidden="1" x14ac:dyDescent="0.25">
      <c r="A243">
        <v>3070334</v>
      </c>
      <c r="B243" t="s">
        <v>138</v>
      </c>
      <c r="C243" t="s">
        <v>101</v>
      </c>
      <c r="D243" s="55" t="s">
        <v>108</v>
      </c>
      <c r="E243" s="66">
        <v>46188</v>
      </c>
      <c r="F243" s="55" t="s">
        <v>109</v>
      </c>
      <c r="G243" t="s">
        <v>175</v>
      </c>
    </row>
    <row r="244" spans="1:7" hidden="1" x14ac:dyDescent="0.25">
      <c r="A244">
        <v>3336169</v>
      </c>
      <c r="B244" t="s">
        <v>138</v>
      </c>
      <c r="C244" t="s">
        <v>140</v>
      </c>
      <c r="D244" s="55" t="s">
        <v>114</v>
      </c>
      <c r="E244" s="66">
        <v>46566</v>
      </c>
      <c r="F244" s="55" t="s">
        <v>122</v>
      </c>
      <c r="G244" t="s">
        <v>175</v>
      </c>
    </row>
    <row r="245" spans="1:7" hidden="1" x14ac:dyDescent="0.25">
      <c r="A245">
        <v>3336180</v>
      </c>
      <c r="B245" t="s">
        <v>138</v>
      </c>
      <c r="C245" t="s">
        <v>140</v>
      </c>
      <c r="D245" s="55" t="s">
        <v>114</v>
      </c>
      <c r="E245" s="66">
        <v>46566</v>
      </c>
      <c r="F245" s="55" t="s">
        <v>122</v>
      </c>
      <c r="G245" t="s">
        <v>175</v>
      </c>
    </row>
    <row r="246" spans="1:7" hidden="1" x14ac:dyDescent="0.25">
      <c r="A246">
        <v>3388649</v>
      </c>
      <c r="B246" t="s">
        <v>138</v>
      </c>
      <c r="C246" t="s">
        <v>123</v>
      </c>
      <c r="D246" s="55" t="s">
        <v>172</v>
      </c>
      <c r="E246" s="66">
        <v>46638</v>
      </c>
      <c r="F246" s="55" t="s">
        <v>173</v>
      </c>
      <c r="G246" t="s">
        <v>175</v>
      </c>
    </row>
    <row r="247" spans="1:7" hidden="1" x14ac:dyDescent="0.25">
      <c r="A247">
        <v>3336464</v>
      </c>
      <c r="B247" t="s">
        <v>138</v>
      </c>
      <c r="C247" t="s">
        <v>101</v>
      </c>
      <c r="D247" s="55" t="s">
        <v>114</v>
      </c>
      <c r="E247" s="66">
        <v>46566</v>
      </c>
      <c r="F247" s="55" t="s">
        <v>122</v>
      </c>
      <c r="G247" t="s">
        <v>175</v>
      </c>
    </row>
    <row r="248" spans="1:7" hidden="1" x14ac:dyDescent="0.25">
      <c r="A248">
        <v>2977745</v>
      </c>
      <c r="B248" t="s">
        <v>138</v>
      </c>
      <c r="C248" t="s">
        <v>101</v>
      </c>
      <c r="D248" s="55" t="s">
        <v>97</v>
      </c>
      <c r="E248" s="66">
        <v>46066</v>
      </c>
      <c r="F248" s="55" t="s">
        <v>98</v>
      </c>
      <c r="G248" t="s">
        <v>175</v>
      </c>
    </row>
    <row r="249" spans="1:7" hidden="1" x14ac:dyDescent="0.25">
      <c r="A249">
        <v>2977748</v>
      </c>
      <c r="B249" t="s">
        <v>138</v>
      </c>
      <c r="C249" t="s">
        <v>101</v>
      </c>
      <c r="D249" s="55" t="s">
        <v>97</v>
      </c>
      <c r="E249" s="66">
        <v>46066</v>
      </c>
      <c r="F249" s="55" t="s">
        <v>98</v>
      </c>
      <c r="G249" t="s">
        <v>175</v>
      </c>
    </row>
    <row r="250" spans="1:7" hidden="1" x14ac:dyDescent="0.25">
      <c r="A250">
        <v>2977758</v>
      </c>
      <c r="B250" t="s">
        <v>138</v>
      </c>
      <c r="C250" t="s">
        <v>101</v>
      </c>
      <c r="D250" s="55" t="s">
        <v>97</v>
      </c>
      <c r="E250" s="66">
        <v>46066</v>
      </c>
      <c r="F250" s="55" t="s">
        <v>98</v>
      </c>
      <c r="G250" t="s">
        <v>175</v>
      </c>
    </row>
    <row r="251" spans="1:7" hidden="1" x14ac:dyDescent="0.25">
      <c r="A251">
        <v>3118515</v>
      </c>
      <c r="B251" t="s">
        <v>138</v>
      </c>
      <c r="C251" t="s">
        <v>99</v>
      </c>
      <c r="D251" s="55" t="s">
        <v>116</v>
      </c>
      <c r="E251" s="66">
        <v>46251</v>
      </c>
      <c r="F251" s="55" t="s">
        <v>117</v>
      </c>
      <c r="G251" t="s">
        <v>175</v>
      </c>
    </row>
    <row r="252" spans="1:7" hidden="1" x14ac:dyDescent="0.25">
      <c r="A252">
        <v>3118504</v>
      </c>
      <c r="B252" t="s">
        <v>138</v>
      </c>
      <c r="C252" t="s">
        <v>101</v>
      </c>
      <c r="D252" s="55" t="s">
        <v>116</v>
      </c>
      <c r="E252" s="66">
        <v>46251</v>
      </c>
      <c r="F252" s="55" t="s">
        <v>117</v>
      </c>
      <c r="G252" t="s">
        <v>175</v>
      </c>
    </row>
    <row r="253" spans="1:7" hidden="1" x14ac:dyDescent="0.25">
      <c r="A253">
        <v>3388659</v>
      </c>
      <c r="B253" t="s">
        <v>138</v>
      </c>
      <c r="C253" t="s">
        <v>123</v>
      </c>
      <c r="D253" s="55" t="s">
        <v>172</v>
      </c>
      <c r="E253" s="66">
        <v>46638</v>
      </c>
      <c r="F253" s="55" t="s">
        <v>173</v>
      </c>
      <c r="G253" t="s">
        <v>175</v>
      </c>
    </row>
    <row r="254" spans="1:7" x14ac:dyDescent="0.25">
      <c r="A254">
        <v>2834852</v>
      </c>
      <c r="B254" t="s">
        <v>138</v>
      </c>
      <c r="C254" t="s">
        <v>140</v>
      </c>
      <c r="D254" s="55" t="s">
        <v>153</v>
      </c>
      <c r="E254" s="66">
        <v>45818</v>
      </c>
      <c r="F254" s="55" t="s">
        <v>167</v>
      </c>
      <c r="G254" t="s">
        <v>174</v>
      </c>
    </row>
    <row r="255" spans="1:7" hidden="1" x14ac:dyDescent="0.25">
      <c r="A255">
        <v>3335699</v>
      </c>
      <c r="B255" t="s">
        <v>138</v>
      </c>
      <c r="C255" t="s">
        <v>99</v>
      </c>
      <c r="D255" s="55" t="s">
        <v>114</v>
      </c>
      <c r="E255" s="66">
        <v>46566</v>
      </c>
      <c r="F255" s="55" t="s">
        <v>122</v>
      </c>
      <c r="G255" t="s">
        <v>175</v>
      </c>
    </row>
    <row r="256" spans="1:7" hidden="1" x14ac:dyDescent="0.25">
      <c r="A256" s="56">
        <v>3336288</v>
      </c>
      <c r="B256" t="s">
        <v>125</v>
      </c>
      <c r="C256" t="s">
        <v>93</v>
      </c>
      <c r="D256" s="55" t="s">
        <v>114</v>
      </c>
      <c r="E256" s="66">
        <v>46201</v>
      </c>
      <c r="F256" s="55" t="s">
        <v>115</v>
      </c>
      <c r="G256" t="s">
        <v>175</v>
      </c>
    </row>
    <row r="257" spans="1:7" hidden="1" x14ac:dyDescent="0.25">
      <c r="A257">
        <v>3134586</v>
      </c>
      <c r="B257" t="s">
        <v>138</v>
      </c>
      <c r="C257" t="s">
        <v>99</v>
      </c>
      <c r="D257" s="55" t="s">
        <v>118</v>
      </c>
      <c r="E257" s="66">
        <v>46273</v>
      </c>
      <c r="F257" s="55" t="s">
        <v>119</v>
      </c>
      <c r="G257" t="s">
        <v>175</v>
      </c>
    </row>
    <row r="258" spans="1:7" x14ac:dyDescent="0.25">
      <c r="A258">
        <v>2834856</v>
      </c>
      <c r="B258" t="s">
        <v>138</v>
      </c>
      <c r="C258" t="s">
        <v>140</v>
      </c>
      <c r="D258" s="55" t="s">
        <v>153</v>
      </c>
      <c r="E258" s="66">
        <v>45818</v>
      </c>
      <c r="F258" s="55" t="s">
        <v>167</v>
      </c>
      <c r="G258" t="s">
        <v>174</v>
      </c>
    </row>
    <row r="259" spans="1:7" hidden="1" x14ac:dyDescent="0.25">
      <c r="A259">
        <v>3070338</v>
      </c>
      <c r="B259" t="s">
        <v>138</v>
      </c>
      <c r="C259" t="s">
        <v>101</v>
      </c>
      <c r="D259" s="55" t="s">
        <v>108</v>
      </c>
      <c r="E259" s="66">
        <v>46188</v>
      </c>
      <c r="F259" s="55" t="s">
        <v>109</v>
      </c>
      <c r="G259" t="s">
        <v>175</v>
      </c>
    </row>
    <row r="260" spans="1:7" hidden="1" x14ac:dyDescent="0.25">
      <c r="A260">
        <v>3118508</v>
      </c>
      <c r="B260" t="s">
        <v>138</v>
      </c>
      <c r="C260" t="s">
        <v>99</v>
      </c>
      <c r="D260" s="55" t="s">
        <v>116</v>
      </c>
      <c r="E260" s="66">
        <v>46251</v>
      </c>
      <c r="F260" s="55" t="s">
        <v>117</v>
      </c>
      <c r="G260" t="s">
        <v>175</v>
      </c>
    </row>
    <row r="261" spans="1:7" hidden="1" x14ac:dyDescent="0.25">
      <c r="A261">
        <v>2879843</v>
      </c>
      <c r="B261" t="s">
        <v>138</v>
      </c>
      <c r="C261" t="s">
        <v>101</v>
      </c>
      <c r="D261" s="55" t="s">
        <v>152</v>
      </c>
      <c r="E261" s="66">
        <v>45888</v>
      </c>
      <c r="F261" s="55" t="s">
        <v>166</v>
      </c>
      <c r="G261" t="s">
        <v>175</v>
      </c>
    </row>
    <row r="262" spans="1:7" hidden="1" x14ac:dyDescent="0.25">
      <c r="A262">
        <v>3118513</v>
      </c>
      <c r="B262" t="s">
        <v>138</v>
      </c>
      <c r="C262" t="s">
        <v>99</v>
      </c>
      <c r="D262" s="55" t="s">
        <v>116</v>
      </c>
      <c r="E262" s="66">
        <v>46251</v>
      </c>
      <c r="F262" s="55" t="s">
        <v>117</v>
      </c>
      <c r="G262" t="s">
        <v>175</v>
      </c>
    </row>
    <row r="263" spans="1:7" hidden="1" x14ac:dyDescent="0.25">
      <c r="A263">
        <v>2977759</v>
      </c>
      <c r="B263" t="s">
        <v>138</v>
      </c>
      <c r="C263" t="s">
        <v>101</v>
      </c>
      <c r="D263" s="55" t="s">
        <v>97</v>
      </c>
      <c r="E263" s="66">
        <v>46066</v>
      </c>
      <c r="F263" s="55" t="s">
        <v>98</v>
      </c>
      <c r="G263" t="s">
        <v>175</v>
      </c>
    </row>
    <row r="264" spans="1:7" hidden="1" x14ac:dyDescent="0.25">
      <c r="A264">
        <v>2977750</v>
      </c>
      <c r="B264" t="s">
        <v>138</v>
      </c>
      <c r="C264" t="s">
        <v>101</v>
      </c>
      <c r="D264" s="55" t="s">
        <v>97</v>
      </c>
      <c r="E264" s="66">
        <v>46066</v>
      </c>
      <c r="F264" s="55" t="s">
        <v>98</v>
      </c>
      <c r="G264" t="s">
        <v>175</v>
      </c>
    </row>
    <row r="265" spans="1:7" hidden="1" x14ac:dyDescent="0.25">
      <c r="A265">
        <v>3070339</v>
      </c>
      <c r="B265" t="s">
        <v>138</v>
      </c>
      <c r="C265" t="s">
        <v>101</v>
      </c>
      <c r="D265" s="55" t="s">
        <v>108</v>
      </c>
      <c r="E265" s="66">
        <v>46188</v>
      </c>
      <c r="F265" s="55" t="s">
        <v>109</v>
      </c>
      <c r="G265" t="s">
        <v>175</v>
      </c>
    </row>
    <row r="266" spans="1:7" hidden="1" x14ac:dyDescent="0.25">
      <c r="A266">
        <v>2977764</v>
      </c>
      <c r="B266" t="s">
        <v>138</v>
      </c>
      <c r="C266" t="s">
        <v>101</v>
      </c>
      <c r="D266" s="55" t="s">
        <v>97</v>
      </c>
      <c r="E266" s="66">
        <v>46066</v>
      </c>
      <c r="F266" s="55" t="s">
        <v>98</v>
      </c>
      <c r="G266" t="s">
        <v>175</v>
      </c>
    </row>
    <row r="267" spans="1:7" hidden="1" x14ac:dyDescent="0.25">
      <c r="A267">
        <v>3336285</v>
      </c>
      <c r="B267" t="s">
        <v>125</v>
      </c>
      <c r="C267" t="s">
        <v>93</v>
      </c>
      <c r="D267" s="55" t="s">
        <v>114</v>
      </c>
      <c r="E267" s="66">
        <v>46201</v>
      </c>
      <c r="F267" s="55" t="s">
        <v>115</v>
      </c>
      <c r="G267" t="s">
        <v>175</v>
      </c>
    </row>
    <row r="268" spans="1:7" hidden="1" x14ac:dyDescent="0.25">
      <c r="A268">
        <v>3388637</v>
      </c>
      <c r="B268" t="s">
        <v>138</v>
      </c>
      <c r="C268" t="s">
        <v>123</v>
      </c>
      <c r="D268" s="55" t="s">
        <v>172</v>
      </c>
      <c r="E268" s="66">
        <v>46638</v>
      </c>
      <c r="F268" s="55" t="s">
        <v>173</v>
      </c>
      <c r="G268" t="s">
        <v>175</v>
      </c>
    </row>
    <row r="269" spans="1:7" hidden="1" x14ac:dyDescent="0.25">
      <c r="A269">
        <v>2977468</v>
      </c>
      <c r="B269" t="s">
        <v>138</v>
      </c>
      <c r="C269" t="s">
        <v>140</v>
      </c>
      <c r="D269" s="55" t="s">
        <v>97</v>
      </c>
      <c r="E269" s="66">
        <v>46066</v>
      </c>
      <c r="F269" s="55" t="s">
        <v>98</v>
      </c>
      <c r="G269" t="s">
        <v>175</v>
      </c>
    </row>
    <row r="270" spans="1:7" hidden="1" x14ac:dyDescent="0.25">
      <c r="A270">
        <v>2977469</v>
      </c>
      <c r="B270" t="s">
        <v>138</v>
      </c>
      <c r="C270" t="s">
        <v>140</v>
      </c>
      <c r="D270" s="55" t="s">
        <v>97</v>
      </c>
      <c r="E270" s="66">
        <v>46066</v>
      </c>
      <c r="F270" s="55" t="s">
        <v>98</v>
      </c>
      <c r="G270" t="s">
        <v>175</v>
      </c>
    </row>
    <row r="271" spans="1:7" hidden="1" x14ac:dyDescent="0.25">
      <c r="A271">
        <v>3070318</v>
      </c>
      <c r="B271" t="s">
        <v>138</v>
      </c>
      <c r="C271" t="s">
        <v>140</v>
      </c>
      <c r="D271" s="55" t="s">
        <v>108</v>
      </c>
      <c r="E271" s="66">
        <v>46188</v>
      </c>
      <c r="F271" s="55" t="s">
        <v>109</v>
      </c>
      <c r="G271" t="s">
        <v>175</v>
      </c>
    </row>
    <row r="272" spans="1:7" hidden="1" x14ac:dyDescent="0.25">
      <c r="A272">
        <v>2977225</v>
      </c>
      <c r="B272" t="s">
        <v>138</v>
      </c>
      <c r="C272" t="s">
        <v>99</v>
      </c>
      <c r="D272" s="55" t="s">
        <v>97</v>
      </c>
      <c r="E272" s="66">
        <v>46066</v>
      </c>
      <c r="F272" s="55" t="s">
        <v>98</v>
      </c>
      <c r="G272" t="s">
        <v>175</v>
      </c>
    </row>
    <row r="273" spans="1:7" hidden="1" x14ac:dyDescent="0.25">
      <c r="A273">
        <v>3388657</v>
      </c>
      <c r="B273" t="s">
        <v>138</v>
      </c>
      <c r="C273" t="s">
        <v>123</v>
      </c>
      <c r="D273" s="55" t="s">
        <v>172</v>
      </c>
      <c r="E273" s="66">
        <v>46638</v>
      </c>
      <c r="F273" s="55" t="s">
        <v>173</v>
      </c>
      <c r="G273" t="s">
        <v>175</v>
      </c>
    </row>
    <row r="274" spans="1:7" hidden="1" x14ac:dyDescent="0.25">
      <c r="A274">
        <v>2879845</v>
      </c>
      <c r="B274" t="s">
        <v>138</v>
      </c>
      <c r="C274" t="s">
        <v>101</v>
      </c>
      <c r="D274" s="55" t="s">
        <v>152</v>
      </c>
      <c r="E274" s="66">
        <v>45888</v>
      </c>
      <c r="F274" s="55" t="s">
        <v>166</v>
      </c>
      <c r="G274" t="s">
        <v>175</v>
      </c>
    </row>
    <row r="275" spans="1:7" hidden="1" x14ac:dyDescent="0.25">
      <c r="A275">
        <v>2879842</v>
      </c>
      <c r="B275" t="s">
        <v>138</v>
      </c>
      <c r="C275" t="s">
        <v>101</v>
      </c>
      <c r="D275" s="55" t="s">
        <v>152</v>
      </c>
      <c r="E275" s="66">
        <v>45888</v>
      </c>
      <c r="F275" s="55" t="s">
        <v>166</v>
      </c>
      <c r="G275" t="s">
        <v>175</v>
      </c>
    </row>
    <row r="276" spans="1:7" hidden="1" x14ac:dyDescent="0.25">
      <c r="A276">
        <v>3134622</v>
      </c>
      <c r="B276" t="s">
        <v>138</v>
      </c>
      <c r="C276" t="s">
        <v>140</v>
      </c>
      <c r="D276" s="55" t="s">
        <v>118</v>
      </c>
      <c r="E276" s="66">
        <v>46273</v>
      </c>
      <c r="F276" s="55" t="s">
        <v>119</v>
      </c>
      <c r="G276" t="s">
        <v>175</v>
      </c>
    </row>
    <row r="277" spans="1:7" hidden="1" x14ac:dyDescent="0.25">
      <c r="A277">
        <v>3118512</v>
      </c>
      <c r="B277" t="s">
        <v>138</v>
      </c>
      <c r="C277" t="s">
        <v>99</v>
      </c>
      <c r="D277" s="55" t="s">
        <v>116</v>
      </c>
      <c r="E277" s="66">
        <v>46251</v>
      </c>
      <c r="F277" s="55" t="s">
        <v>117</v>
      </c>
      <c r="G277" t="s">
        <v>175</v>
      </c>
    </row>
    <row r="278" spans="1:7" x14ac:dyDescent="0.25">
      <c r="A278">
        <v>2834850</v>
      </c>
      <c r="B278" t="s">
        <v>138</v>
      </c>
      <c r="C278" t="s">
        <v>140</v>
      </c>
      <c r="D278" s="55" t="s">
        <v>153</v>
      </c>
      <c r="E278" s="66">
        <v>45818</v>
      </c>
      <c r="F278" s="55" t="s">
        <v>167</v>
      </c>
      <c r="G278" t="s">
        <v>174</v>
      </c>
    </row>
    <row r="279" spans="1:7" hidden="1" x14ac:dyDescent="0.25">
      <c r="A279">
        <v>3336469</v>
      </c>
      <c r="B279" t="s">
        <v>138</v>
      </c>
      <c r="C279" t="s">
        <v>101</v>
      </c>
      <c r="D279" s="55" t="s">
        <v>114</v>
      </c>
      <c r="E279" s="66">
        <v>46566</v>
      </c>
      <c r="F279" s="55" t="s">
        <v>122</v>
      </c>
      <c r="G279" t="s">
        <v>175</v>
      </c>
    </row>
    <row r="280" spans="1:7" hidden="1" x14ac:dyDescent="0.25">
      <c r="A280">
        <v>3185928</v>
      </c>
      <c r="B280" t="s">
        <v>138</v>
      </c>
      <c r="C280" t="s">
        <v>101</v>
      </c>
      <c r="D280" s="55" t="s">
        <v>88</v>
      </c>
      <c r="E280" s="66">
        <v>46386</v>
      </c>
      <c r="F280" s="55" t="s">
        <v>120</v>
      </c>
      <c r="G280" t="s">
        <v>175</v>
      </c>
    </row>
    <row r="281" spans="1:7" hidden="1" x14ac:dyDescent="0.25">
      <c r="A281">
        <v>3070344</v>
      </c>
      <c r="B281" t="s">
        <v>138</v>
      </c>
      <c r="C281" t="s">
        <v>101</v>
      </c>
      <c r="D281" s="55" t="s">
        <v>108</v>
      </c>
      <c r="E281" s="66">
        <v>46188</v>
      </c>
      <c r="F281" s="55" t="s">
        <v>109</v>
      </c>
      <c r="G281" t="s">
        <v>175</v>
      </c>
    </row>
    <row r="282" spans="1:7" hidden="1" x14ac:dyDescent="0.25">
      <c r="A282">
        <v>3070340</v>
      </c>
      <c r="B282" t="s">
        <v>138</v>
      </c>
      <c r="C282" t="s">
        <v>101</v>
      </c>
      <c r="D282" s="55" t="s">
        <v>108</v>
      </c>
      <c r="E282" s="66">
        <v>46188</v>
      </c>
      <c r="F282" s="55" t="s">
        <v>109</v>
      </c>
      <c r="G282" t="s">
        <v>175</v>
      </c>
    </row>
    <row r="283" spans="1:7" hidden="1" x14ac:dyDescent="0.25">
      <c r="A283">
        <v>3336179</v>
      </c>
      <c r="B283" t="s">
        <v>138</v>
      </c>
      <c r="C283" t="s">
        <v>140</v>
      </c>
      <c r="D283" s="55" t="s">
        <v>114</v>
      </c>
      <c r="E283" s="66">
        <v>46566</v>
      </c>
      <c r="F283" s="55" t="s">
        <v>122</v>
      </c>
      <c r="G283" t="s">
        <v>175</v>
      </c>
    </row>
    <row r="284" spans="1:7" hidden="1" x14ac:dyDescent="0.25">
      <c r="A284">
        <v>3118492</v>
      </c>
      <c r="B284" t="s">
        <v>138</v>
      </c>
      <c r="C284" t="s">
        <v>140</v>
      </c>
      <c r="D284" s="55" t="s">
        <v>116</v>
      </c>
      <c r="E284" s="66">
        <v>46251</v>
      </c>
      <c r="F284" s="55" t="s">
        <v>117</v>
      </c>
      <c r="G284" t="s">
        <v>175</v>
      </c>
    </row>
    <row r="285" spans="1:7" hidden="1" x14ac:dyDescent="0.25">
      <c r="A285">
        <v>3118497</v>
      </c>
      <c r="B285" t="s">
        <v>138</v>
      </c>
      <c r="C285" t="s">
        <v>140</v>
      </c>
      <c r="D285" s="55" t="s">
        <v>116</v>
      </c>
      <c r="E285" s="66">
        <v>46251</v>
      </c>
      <c r="F285" s="55" t="s">
        <v>117</v>
      </c>
      <c r="G285" t="s">
        <v>175</v>
      </c>
    </row>
    <row r="286" spans="1:7" hidden="1" x14ac:dyDescent="0.25">
      <c r="A286">
        <v>3236104</v>
      </c>
      <c r="B286" t="s">
        <v>125</v>
      </c>
      <c r="C286" t="s">
        <v>91</v>
      </c>
      <c r="D286" s="55" t="s">
        <v>102</v>
      </c>
      <c r="E286" s="66">
        <v>46083</v>
      </c>
      <c r="F286" s="55" t="s">
        <v>103</v>
      </c>
      <c r="G286" t="s">
        <v>175</v>
      </c>
    </row>
    <row r="287" spans="1:7" hidden="1" x14ac:dyDescent="0.25">
      <c r="A287">
        <v>3186008</v>
      </c>
      <c r="B287" t="s">
        <v>138</v>
      </c>
      <c r="C287" t="s">
        <v>99</v>
      </c>
      <c r="D287" s="55" t="s">
        <v>88</v>
      </c>
      <c r="E287" s="66">
        <v>46386</v>
      </c>
      <c r="F287" s="55" t="s">
        <v>120</v>
      </c>
      <c r="G287" t="s">
        <v>175</v>
      </c>
    </row>
    <row r="288" spans="1:7" hidden="1" x14ac:dyDescent="0.25">
      <c r="A288">
        <v>2977228</v>
      </c>
      <c r="B288" t="s">
        <v>138</v>
      </c>
      <c r="C288" t="s">
        <v>99</v>
      </c>
      <c r="D288" s="55" t="s">
        <v>97</v>
      </c>
      <c r="E288" s="66">
        <v>46066</v>
      </c>
      <c r="F288" s="55" t="s">
        <v>98</v>
      </c>
      <c r="G288" t="s">
        <v>175</v>
      </c>
    </row>
    <row r="289" spans="1:7" hidden="1" x14ac:dyDescent="0.25">
      <c r="A289">
        <v>3335836</v>
      </c>
      <c r="B289" t="s">
        <v>138</v>
      </c>
      <c r="C289" t="s">
        <v>123</v>
      </c>
      <c r="D289" s="55" t="s">
        <v>114</v>
      </c>
      <c r="E289" s="66">
        <v>46566</v>
      </c>
      <c r="F289" s="55" t="s">
        <v>122</v>
      </c>
      <c r="G289" t="s">
        <v>175</v>
      </c>
    </row>
    <row r="290" spans="1:7" x14ac:dyDescent="0.25">
      <c r="A290">
        <v>2834842</v>
      </c>
      <c r="B290" t="s">
        <v>138</v>
      </c>
      <c r="C290" t="s">
        <v>140</v>
      </c>
      <c r="D290" s="55" t="s">
        <v>153</v>
      </c>
      <c r="E290" s="66">
        <v>45818</v>
      </c>
      <c r="F290" s="55" t="s">
        <v>167</v>
      </c>
      <c r="G290" t="s">
        <v>174</v>
      </c>
    </row>
    <row r="291" spans="1:7" x14ac:dyDescent="0.25">
      <c r="A291">
        <v>2834846</v>
      </c>
      <c r="B291" t="s">
        <v>138</v>
      </c>
      <c r="C291" t="s">
        <v>140</v>
      </c>
      <c r="D291" s="55" t="s">
        <v>153</v>
      </c>
      <c r="E291" s="66">
        <v>45818</v>
      </c>
      <c r="F291" s="55" t="s">
        <v>167</v>
      </c>
      <c r="G291" t="s">
        <v>174</v>
      </c>
    </row>
    <row r="292" spans="1:7" hidden="1" x14ac:dyDescent="0.25">
      <c r="A292">
        <v>3186281</v>
      </c>
      <c r="B292" t="s">
        <v>125</v>
      </c>
      <c r="C292" t="s">
        <v>91</v>
      </c>
      <c r="D292" s="55" t="s">
        <v>88</v>
      </c>
      <c r="E292" s="66">
        <v>46021</v>
      </c>
      <c r="F292" s="55" t="s">
        <v>89</v>
      </c>
      <c r="G292" t="s">
        <v>175</v>
      </c>
    </row>
    <row r="293" spans="1:7" hidden="1" x14ac:dyDescent="0.25">
      <c r="A293">
        <v>3186283</v>
      </c>
      <c r="B293" t="s">
        <v>125</v>
      </c>
      <c r="C293" t="s">
        <v>91</v>
      </c>
      <c r="D293" s="55" t="s">
        <v>88</v>
      </c>
      <c r="E293" s="66">
        <v>46021</v>
      </c>
      <c r="F293" s="55" t="s">
        <v>89</v>
      </c>
      <c r="G293" t="s">
        <v>175</v>
      </c>
    </row>
    <row r="294" spans="1:7" hidden="1" x14ac:dyDescent="0.25">
      <c r="A294">
        <v>2977226</v>
      </c>
      <c r="B294" t="s">
        <v>138</v>
      </c>
      <c r="C294" t="s">
        <v>99</v>
      </c>
      <c r="D294" s="55" t="s">
        <v>97</v>
      </c>
      <c r="E294" s="66">
        <v>46066</v>
      </c>
      <c r="F294" s="55" t="s">
        <v>98</v>
      </c>
      <c r="G294" t="s">
        <v>175</v>
      </c>
    </row>
    <row r="295" spans="1:7" x14ac:dyDescent="0.25">
      <c r="A295">
        <v>2675746</v>
      </c>
      <c r="B295" t="s">
        <v>138</v>
      </c>
      <c r="C295" t="s">
        <v>99</v>
      </c>
      <c r="D295" s="55" t="s">
        <v>155</v>
      </c>
      <c r="E295" s="66">
        <v>45524</v>
      </c>
      <c r="F295" s="55" t="s">
        <v>170</v>
      </c>
      <c r="G295" t="s">
        <v>174</v>
      </c>
    </row>
    <row r="296" spans="1:7" hidden="1" x14ac:dyDescent="0.25">
      <c r="A296">
        <v>2977762</v>
      </c>
      <c r="B296" t="s">
        <v>138</v>
      </c>
      <c r="C296" t="s">
        <v>101</v>
      </c>
      <c r="D296" s="55" t="s">
        <v>97</v>
      </c>
      <c r="E296" s="66">
        <v>46066</v>
      </c>
      <c r="F296" s="55" t="s">
        <v>98</v>
      </c>
      <c r="G296" t="s">
        <v>175</v>
      </c>
    </row>
    <row r="297" spans="1:7" hidden="1" x14ac:dyDescent="0.25">
      <c r="A297">
        <v>2879835</v>
      </c>
      <c r="B297" t="s">
        <v>138</v>
      </c>
      <c r="C297" t="s">
        <v>101</v>
      </c>
      <c r="D297" s="55" t="s">
        <v>152</v>
      </c>
      <c r="E297" s="66">
        <v>45888</v>
      </c>
      <c r="F297" s="55" t="s">
        <v>166</v>
      </c>
      <c r="G297" t="s">
        <v>175</v>
      </c>
    </row>
    <row r="298" spans="1:7" hidden="1" x14ac:dyDescent="0.25">
      <c r="A298">
        <v>2977466</v>
      </c>
      <c r="B298" t="s">
        <v>138</v>
      </c>
      <c r="C298" t="s">
        <v>140</v>
      </c>
      <c r="D298" s="55" t="s">
        <v>97</v>
      </c>
      <c r="E298" s="66">
        <v>46066</v>
      </c>
      <c r="F298" s="55" t="s">
        <v>98</v>
      </c>
      <c r="G298" t="s">
        <v>175</v>
      </c>
    </row>
    <row r="299" spans="1:7" x14ac:dyDescent="0.25">
      <c r="A299">
        <v>2834848</v>
      </c>
      <c r="B299" t="s">
        <v>138</v>
      </c>
      <c r="C299" t="s">
        <v>140</v>
      </c>
      <c r="D299" s="55" t="s">
        <v>153</v>
      </c>
      <c r="E299" s="66">
        <v>45818</v>
      </c>
      <c r="F299" s="55" t="s">
        <v>167</v>
      </c>
      <c r="G299" t="s">
        <v>174</v>
      </c>
    </row>
    <row r="300" spans="1:7" hidden="1" x14ac:dyDescent="0.25">
      <c r="A300">
        <v>3388640</v>
      </c>
      <c r="B300" t="s">
        <v>138</v>
      </c>
      <c r="C300" t="s">
        <v>123</v>
      </c>
      <c r="D300" s="55" t="s">
        <v>172</v>
      </c>
      <c r="E300" s="66">
        <v>46638</v>
      </c>
      <c r="F300" s="55" t="s">
        <v>173</v>
      </c>
      <c r="G300" t="s">
        <v>175</v>
      </c>
    </row>
    <row r="301" spans="1:7" hidden="1" x14ac:dyDescent="0.25">
      <c r="A301">
        <v>2977462</v>
      </c>
      <c r="B301" t="s">
        <v>138</v>
      </c>
      <c r="C301" t="s">
        <v>140</v>
      </c>
      <c r="D301" s="55" t="s">
        <v>97</v>
      </c>
      <c r="E301" s="66">
        <v>46066</v>
      </c>
      <c r="F301" s="55" t="s">
        <v>98</v>
      </c>
      <c r="G301" t="s">
        <v>175</v>
      </c>
    </row>
    <row r="302" spans="1:7" hidden="1" x14ac:dyDescent="0.25">
      <c r="A302">
        <v>2977464</v>
      </c>
      <c r="B302" t="s">
        <v>138</v>
      </c>
      <c r="C302" t="s">
        <v>140</v>
      </c>
      <c r="D302" s="55" t="s">
        <v>97</v>
      </c>
      <c r="E302" s="66">
        <v>46066</v>
      </c>
      <c r="F302" s="55" t="s">
        <v>98</v>
      </c>
      <c r="G302" t="s">
        <v>175</v>
      </c>
    </row>
    <row r="303" spans="1:7" hidden="1" x14ac:dyDescent="0.25">
      <c r="A303">
        <v>2977460</v>
      </c>
      <c r="B303" t="s">
        <v>138</v>
      </c>
      <c r="C303" t="s">
        <v>140</v>
      </c>
      <c r="D303" s="55" t="s">
        <v>97</v>
      </c>
      <c r="E303" s="66">
        <v>46066</v>
      </c>
      <c r="F303" s="55" t="s">
        <v>98</v>
      </c>
      <c r="G303" t="s">
        <v>175</v>
      </c>
    </row>
    <row r="304" spans="1:7" hidden="1" x14ac:dyDescent="0.25">
      <c r="A304">
        <v>2879609</v>
      </c>
      <c r="B304" t="s">
        <v>138</v>
      </c>
      <c r="C304" t="s">
        <v>142</v>
      </c>
      <c r="D304" s="55" t="s">
        <v>152</v>
      </c>
      <c r="E304" s="66">
        <v>45888</v>
      </c>
      <c r="F304" s="55" t="s">
        <v>166</v>
      </c>
      <c r="G304" t="s">
        <v>175</v>
      </c>
    </row>
    <row r="305" spans="1:7" hidden="1" x14ac:dyDescent="0.25">
      <c r="A305">
        <v>2879847</v>
      </c>
      <c r="B305" t="s">
        <v>138</v>
      </c>
      <c r="C305" t="s">
        <v>101</v>
      </c>
      <c r="D305" s="55" t="s">
        <v>152</v>
      </c>
      <c r="E305" s="66">
        <v>45888</v>
      </c>
      <c r="F305" s="55" t="s">
        <v>166</v>
      </c>
      <c r="G305" t="s">
        <v>175</v>
      </c>
    </row>
    <row r="306" spans="1:7" hidden="1" x14ac:dyDescent="0.25">
      <c r="A306">
        <v>3118502</v>
      </c>
      <c r="B306" t="s">
        <v>138</v>
      </c>
      <c r="C306" t="s">
        <v>101</v>
      </c>
      <c r="D306" s="55" t="s">
        <v>116</v>
      </c>
      <c r="E306" s="66">
        <v>46251</v>
      </c>
      <c r="F306" s="55" t="s">
        <v>117</v>
      </c>
      <c r="G306" t="s">
        <v>175</v>
      </c>
    </row>
    <row r="307" spans="1:7" hidden="1" x14ac:dyDescent="0.25">
      <c r="A307">
        <v>3118507</v>
      </c>
      <c r="B307" t="s">
        <v>138</v>
      </c>
      <c r="C307" t="s">
        <v>101</v>
      </c>
      <c r="D307" s="55" t="s">
        <v>116</v>
      </c>
      <c r="E307" s="66">
        <v>46251</v>
      </c>
      <c r="F307" s="55" t="s">
        <v>117</v>
      </c>
      <c r="G307" t="s">
        <v>175</v>
      </c>
    </row>
    <row r="308" spans="1:7" hidden="1" x14ac:dyDescent="0.25">
      <c r="A308">
        <v>2977634</v>
      </c>
      <c r="B308" t="s">
        <v>138</v>
      </c>
      <c r="C308" t="s">
        <v>100</v>
      </c>
      <c r="D308" s="55" t="s">
        <v>97</v>
      </c>
      <c r="E308" s="66">
        <v>46066</v>
      </c>
      <c r="F308" s="55" t="s">
        <v>98</v>
      </c>
      <c r="G308" t="s">
        <v>175</v>
      </c>
    </row>
    <row r="309" spans="1:7" x14ac:dyDescent="0.25">
      <c r="A309">
        <v>2758333</v>
      </c>
      <c r="B309" t="s">
        <v>138</v>
      </c>
      <c r="C309" t="s">
        <v>140</v>
      </c>
      <c r="D309" s="55" t="s">
        <v>154</v>
      </c>
      <c r="E309" s="66">
        <v>45702</v>
      </c>
      <c r="F309" s="55" t="s">
        <v>168</v>
      </c>
      <c r="G309" t="s">
        <v>174</v>
      </c>
    </row>
    <row r="310" spans="1:7" hidden="1" x14ac:dyDescent="0.25">
      <c r="A310">
        <v>2879836</v>
      </c>
      <c r="B310" t="s">
        <v>138</v>
      </c>
      <c r="C310" t="s">
        <v>101</v>
      </c>
      <c r="D310" s="55" t="s">
        <v>152</v>
      </c>
      <c r="E310" s="66">
        <v>45888</v>
      </c>
      <c r="F310" s="55" t="s">
        <v>166</v>
      </c>
      <c r="G310" t="s">
        <v>175</v>
      </c>
    </row>
    <row r="311" spans="1:7" hidden="1" x14ac:dyDescent="0.25">
      <c r="A311">
        <v>3235889</v>
      </c>
      <c r="B311" t="s">
        <v>138</v>
      </c>
      <c r="C311" t="s">
        <v>140</v>
      </c>
      <c r="D311" s="55" t="s">
        <v>102</v>
      </c>
      <c r="E311" s="66">
        <v>46448</v>
      </c>
      <c r="F311" s="55" t="s">
        <v>121</v>
      </c>
      <c r="G311" t="s">
        <v>175</v>
      </c>
    </row>
    <row r="312" spans="1:7" hidden="1" x14ac:dyDescent="0.25">
      <c r="A312">
        <v>2977463</v>
      </c>
      <c r="B312" t="s">
        <v>138</v>
      </c>
      <c r="C312" t="s">
        <v>140</v>
      </c>
      <c r="D312" s="55" t="s">
        <v>97</v>
      </c>
      <c r="E312" s="66">
        <v>46066</v>
      </c>
      <c r="F312" s="55" t="s">
        <v>98</v>
      </c>
      <c r="G312" t="s">
        <v>175</v>
      </c>
    </row>
    <row r="313" spans="1:7" hidden="1" x14ac:dyDescent="0.25">
      <c r="A313">
        <v>2977753</v>
      </c>
      <c r="B313" t="s">
        <v>138</v>
      </c>
      <c r="C313" t="s">
        <v>101</v>
      </c>
      <c r="D313" s="55" t="s">
        <v>97</v>
      </c>
      <c r="E313" s="66">
        <v>46066</v>
      </c>
      <c r="F313" s="55" t="s">
        <v>98</v>
      </c>
      <c r="G313" t="s">
        <v>175</v>
      </c>
    </row>
    <row r="314" spans="1:7" hidden="1" x14ac:dyDescent="0.25">
      <c r="A314">
        <v>2977761</v>
      </c>
      <c r="B314" t="s">
        <v>138</v>
      </c>
      <c r="C314" t="s">
        <v>101</v>
      </c>
      <c r="D314" s="55" t="s">
        <v>97</v>
      </c>
      <c r="E314" s="66">
        <v>46066</v>
      </c>
      <c r="F314" s="55" t="s">
        <v>98</v>
      </c>
      <c r="G314" t="s">
        <v>175</v>
      </c>
    </row>
    <row r="315" spans="1:7" hidden="1" x14ac:dyDescent="0.25">
      <c r="A315">
        <v>3235912</v>
      </c>
      <c r="B315" t="s">
        <v>138</v>
      </c>
      <c r="C315" t="s">
        <v>142</v>
      </c>
      <c r="D315" s="55" t="s">
        <v>102</v>
      </c>
      <c r="E315" s="66">
        <v>46448</v>
      </c>
      <c r="F315" s="55" t="s">
        <v>121</v>
      </c>
      <c r="G315" t="s">
        <v>175</v>
      </c>
    </row>
    <row r="316" spans="1:7" x14ac:dyDescent="0.25">
      <c r="A316">
        <v>2675831</v>
      </c>
      <c r="B316" t="s">
        <v>138</v>
      </c>
      <c r="C316" t="s">
        <v>140</v>
      </c>
      <c r="D316" s="55" t="s">
        <v>155</v>
      </c>
      <c r="E316" s="66">
        <v>45524</v>
      </c>
      <c r="F316" s="55" t="s">
        <v>170</v>
      </c>
      <c r="G316" t="s">
        <v>174</v>
      </c>
    </row>
    <row r="317" spans="1:7" hidden="1" x14ac:dyDescent="0.25">
      <c r="A317">
        <v>2977229</v>
      </c>
      <c r="B317" t="s">
        <v>138</v>
      </c>
      <c r="C317" t="s">
        <v>99</v>
      </c>
      <c r="D317" s="55" t="s">
        <v>97</v>
      </c>
      <c r="E317" s="66">
        <v>46066</v>
      </c>
      <c r="F317" s="55" t="s">
        <v>98</v>
      </c>
      <c r="G317" t="s">
        <v>175</v>
      </c>
    </row>
    <row r="318" spans="1:7" hidden="1" x14ac:dyDescent="0.25">
      <c r="A318">
        <v>2977740</v>
      </c>
      <c r="B318" t="s">
        <v>138</v>
      </c>
      <c r="C318" t="s">
        <v>101</v>
      </c>
      <c r="D318" s="55" t="s">
        <v>97</v>
      </c>
      <c r="E318" s="66">
        <v>46066</v>
      </c>
      <c r="F318" s="55" t="s">
        <v>98</v>
      </c>
      <c r="G318" t="s">
        <v>175</v>
      </c>
    </row>
    <row r="319" spans="1:7" hidden="1" x14ac:dyDescent="0.25">
      <c r="A319">
        <v>2977742</v>
      </c>
      <c r="B319" t="s">
        <v>138</v>
      </c>
      <c r="C319" t="s">
        <v>101</v>
      </c>
      <c r="D319" s="55" t="s">
        <v>97</v>
      </c>
      <c r="E319" s="66">
        <v>46066</v>
      </c>
      <c r="F319" s="55" t="s">
        <v>98</v>
      </c>
      <c r="G319" t="s">
        <v>175</v>
      </c>
    </row>
    <row r="320" spans="1:7" hidden="1" x14ac:dyDescent="0.25">
      <c r="A320">
        <v>2977458</v>
      </c>
      <c r="B320" t="s">
        <v>138</v>
      </c>
      <c r="C320" t="s">
        <v>140</v>
      </c>
      <c r="D320" s="55" t="s">
        <v>97</v>
      </c>
      <c r="E320" s="66">
        <v>46066</v>
      </c>
      <c r="F320" s="55" t="s">
        <v>98</v>
      </c>
      <c r="G320" t="s">
        <v>175</v>
      </c>
    </row>
    <row r="321" spans="1:7" hidden="1" x14ac:dyDescent="0.25">
      <c r="A321">
        <v>2879839</v>
      </c>
      <c r="B321" t="s">
        <v>138</v>
      </c>
      <c r="C321" t="s">
        <v>101</v>
      </c>
      <c r="D321" s="55" t="s">
        <v>152</v>
      </c>
      <c r="E321" s="66">
        <v>45888</v>
      </c>
      <c r="F321" s="55" t="s">
        <v>166</v>
      </c>
      <c r="G321" t="s">
        <v>175</v>
      </c>
    </row>
    <row r="322" spans="1:7" hidden="1" x14ac:dyDescent="0.25">
      <c r="A322">
        <v>2879693</v>
      </c>
      <c r="B322" t="s">
        <v>138</v>
      </c>
      <c r="C322" t="s">
        <v>140</v>
      </c>
      <c r="D322" s="55" t="s">
        <v>152</v>
      </c>
      <c r="E322" s="66">
        <v>45888</v>
      </c>
      <c r="F322" s="55" t="s">
        <v>166</v>
      </c>
      <c r="G322" t="s">
        <v>175</v>
      </c>
    </row>
    <row r="323" spans="1:7" hidden="1" x14ac:dyDescent="0.25">
      <c r="A323">
        <v>3336183</v>
      </c>
      <c r="B323" t="s">
        <v>138</v>
      </c>
      <c r="C323" t="s">
        <v>140</v>
      </c>
      <c r="D323" s="55" t="s">
        <v>114</v>
      </c>
      <c r="E323" s="66">
        <v>46566</v>
      </c>
      <c r="F323" s="55" t="s">
        <v>122</v>
      </c>
      <c r="G323" t="s">
        <v>175</v>
      </c>
    </row>
    <row r="324" spans="1:7" hidden="1" x14ac:dyDescent="0.25">
      <c r="A324">
        <v>3186303</v>
      </c>
      <c r="B324" t="s">
        <v>125</v>
      </c>
      <c r="C324" t="s">
        <v>92</v>
      </c>
      <c r="D324" s="55" t="s">
        <v>88</v>
      </c>
      <c r="E324" s="66">
        <v>46021</v>
      </c>
      <c r="F324" s="55" t="s">
        <v>89</v>
      </c>
      <c r="G324" t="s">
        <v>175</v>
      </c>
    </row>
    <row r="325" spans="1:7" hidden="1" x14ac:dyDescent="0.25">
      <c r="A325">
        <v>3070321</v>
      </c>
      <c r="B325" t="s">
        <v>138</v>
      </c>
      <c r="C325" t="s">
        <v>140</v>
      </c>
      <c r="D325" s="55" t="s">
        <v>108</v>
      </c>
      <c r="E325" s="66">
        <v>46188</v>
      </c>
      <c r="F325" s="55" t="s">
        <v>109</v>
      </c>
      <c r="G325" t="s">
        <v>175</v>
      </c>
    </row>
    <row r="326" spans="1:7" hidden="1" x14ac:dyDescent="0.25">
      <c r="A326">
        <v>3070323</v>
      </c>
      <c r="B326" t="s">
        <v>138</v>
      </c>
      <c r="C326" t="s">
        <v>140</v>
      </c>
      <c r="D326" s="55" t="s">
        <v>108</v>
      </c>
      <c r="E326" s="66">
        <v>46188</v>
      </c>
      <c r="F326" s="55" t="s">
        <v>109</v>
      </c>
      <c r="G326" t="s">
        <v>175</v>
      </c>
    </row>
    <row r="327" spans="1:7" hidden="1" x14ac:dyDescent="0.25">
      <c r="A327">
        <v>3070342</v>
      </c>
      <c r="B327" t="s">
        <v>138</v>
      </c>
      <c r="C327" t="s">
        <v>101</v>
      </c>
      <c r="D327" s="55" t="s">
        <v>108</v>
      </c>
      <c r="E327" s="66">
        <v>46188</v>
      </c>
      <c r="F327" s="55" t="s">
        <v>109</v>
      </c>
      <c r="G327" t="s">
        <v>175</v>
      </c>
    </row>
    <row r="328" spans="1:7" hidden="1" x14ac:dyDescent="0.25">
      <c r="A328">
        <v>3336470</v>
      </c>
      <c r="B328" t="s">
        <v>138</v>
      </c>
      <c r="C328" t="s">
        <v>101</v>
      </c>
      <c r="D328" s="55" t="s">
        <v>114</v>
      </c>
      <c r="E328" s="66">
        <v>46566</v>
      </c>
      <c r="F328" s="55" t="s">
        <v>122</v>
      </c>
      <c r="G328" t="s">
        <v>175</v>
      </c>
    </row>
    <row r="329" spans="1:7" hidden="1" x14ac:dyDescent="0.25">
      <c r="A329">
        <v>3336461</v>
      </c>
      <c r="B329" t="s">
        <v>138</v>
      </c>
      <c r="C329" t="s">
        <v>101</v>
      </c>
      <c r="D329" s="55" t="s">
        <v>114</v>
      </c>
      <c r="E329" s="66">
        <v>46566</v>
      </c>
      <c r="F329" s="55" t="s">
        <v>122</v>
      </c>
      <c r="G329" t="s">
        <v>175</v>
      </c>
    </row>
    <row r="330" spans="1:7" hidden="1" x14ac:dyDescent="0.25">
      <c r="A330">
        <v>2879844</v>
      </c>
      <c r="B330" t="s">
        <v>138</v>
      </c>
      <c r="C330" t="s">
        <v>101</v>
      </c>
      <c r="D330" s="55" t="s">
        <v>152</v>
      </c>
      <c r="E330" s="66">
        <v>45888</v>
      </c>
      <c r="F330" s="55" t="s">
        <v>166</v>
      </c>
      <c r="G330" t="s">
        <v>175</v>
      </c>
    </row>
    <row r="331" spans="1:7" hidden="1" x14ac:dyDescent="0.25">
      <c r="A331">
        <v>3335833</v>
      </c>
      <c r="B331" t="s">
        <v>138</v>
      </c>
      <c r="C331" t="s">
        <v>123</v>
      </c>
      <c r="D331" s="55" t="s">
        <v>114</v>
      </c>
      <c r="E331" s="66">
        <v>46566</v>
      </c>
      <c r="F331" s="55" t="s">
        <v>122</v>
      </c>
      <c r="G331" t="s">
        <v>175</v>
      </c>
    </row>
    <row r="332" spans="1:7" x14ac:dyDescent="0.25">
      <c r="A332">
        <v>3069983</v>
      </c>
      <c r="B332" t="s">
        <v>125</v>
      </c>
      <c r="C332" t="s">
        <v>91</v>
      </c>
      <c r="D332" s="55" t="s">
        <v>108</v>
      </c>
      <c r="E332" s="66">
        <v>45823</v>
      </c>
      <c r="F332" s="55" t="s">
        <v>169</v>
      </c>
      <c r="G332" t="s">
        <v>174</v>
      </c>
    </row>
    <row r="333" spans="1:7" hidden="1" x14ac:dyDescent="0.25">
      <c r="A333">
        <v>2879846</v>
      </c>
      <c r="B333" t="s">
        <v>138</v>
      </c>
      <c r="C333" t="s">
        <v>101</v>
      </c>
      <c r="D333" s="55" t="s">
        <v>152</v>
      </c>
      <c r="E333" s="66">
        <v>45888</v>
      </c>
      <c r="F333" s="55" t="s">
        <v>166</v>
      </c>
      <c r="G333" t="s">
        <v>175</v>
      </c>
    </row>
    <row r="334" spans="1:7" hidden="1" x14ac:dyDescent="0.25">
      <c r="A334">
        <v>3134623</v>
      </c>
      <c r="B334" t="s">
        <v>138</v>
      </c>
      <c r="C334" t="s">
        <v>140</v>
      </c>
      <c r="D334" s="55" t="s">
        <v>118</v>
      </c>
      <c r="E334" s="66">
        <v>46273</v>
      </c>
      <c r="F334" s="55" t="s">
        <v>119</v>
      </c>
      <c r="G334" t="s">
        <v>175</v>
      </c>
    </row>
    <row r="335" spans="1:7" hidden="1" x14ac:dyDescent="0.25">
      <c r="A335">
        <v>3335837</v>
      </c>
      <c r="B335" t="s">
        <v>138</v>
      </c>
      <c r="C335" t="s">
        <v>123</v>
      </c>
      <c r="D335" s="55" t="s">
        <v>114</v>
      </c>
      <c r="E335" s="66">
        <v>46566</v>
      </c>
      <c r="F335" s="55" t="s">
        <v>122</v>
      </c>
      <c r="G335" t="s">
        <v>175</v>
      </c>
    </row>
    <row r="336" spans="1:7" hidden="1" x14ac:dyDescent="0.25">
      <c r="A336">
        <v>3185934</v>
      </c>
      <c r="B336" t="s">
        <v>138</v>
      </c>
      <c r="C336" t="s">
        <v>101</v>
      </c>
      <c r="D336" s="55" t="s">
        <v>88</v>
      </c>
      <c r="E336" s="66">
        <v>46386</v>
      </c>
      <c r="F336" s="55" t="s">
        <v>120</v>
      </c>
      <c r="G336" t="s">
        <v>175</v>
      </c>
    </row>
    <row r="337" spans="1:7" hidden="1" x14ac:dyDescent="0.25">
      <c r="A337">
        <v>3388647</v>
      </c>
      <c r="B337" t="s">
        <v>138</v>
      </c>
      <c r="C337" t="s">
        <v>123</v>
      </c>
      <c r="D337" s="55" t="s">
        <v>172</v>
      </c>
      <c r="E337" s="66">
        <v>46638</v>
      </c>
      <c r="F337" s="55" t="s">
        <v>173</v>
      </c>
      <c r="G337" t="s">
        <v>175</v>
      </c>
    </row>
    <row r="338" spans="1:7" x14ac:dyDescent="0.25">
      <c r="A338">
        <v>2758190</v>
      </c>
      <c r="B338" t="s">
        <v>138</v>
      </c>
      <c r="C338" t="s">
        <v>99</v>
      </c>
      <c r="D338" s="55" t="s">
        <v>154</v>
      </c>
      <c r="E338" s="66">
        <v>45702</v>
      </c>
      <c r="F338" s="55" t="s">
        <v>168</v>
      </c>
      <c r="G338" t="s">
        <v>174</v>
      </c>
    </row>
    <row r="339" spans="1:7" hidden="1" x14ac:dyDescent="0.25">
      <c r="A339">
        <v>2879691</v>
      </c>
      <c r="B339" t="s">
        <v>138</v>
      </c>
      <c r="C339" t="s">
        <v>140</v>
      </c>
      <c r="D339" s="55" t="s">
        <v>152</v>
      </c>
      <c r="E339" s="66">
        <v>45888</v>
      </c>
      <c r="F339" s="55" t="s">
        <v>166</v>
      </c>
      <c r="G339" t="s">
        <v>175</v>
      </c>
    </row>
    <row r="340" spans="1:7" hidden="1" x14ac:dyDescent="0.25">
      <c r="A340">
        <v>3388648</v>
      </c>
      <c r="B340" t="s">
        <v>138</v>
      </c>
      <c r="C340" t="s">
        <v>123</v>
      </c>
      <c r="D340" s="55" t="s">
        <v>172</v>
      </c>
      <c r="E340" s="66">
        <v>46638</v>
      </c>
      <c r="F340" s="55" t="s">
        <v>173</v>
      </c>
      <c r="G340" t="s">
        <v>175</v>
      </c>
    </row>
    <row r="341" spans="1:7" hidden="1" x14ac:dyDescent="0.25">
      <c r="A341">
        <v>3335844</v>
      </c>
      <c r="B341" t="s">
        <v>138</v>
      </c>
      <c r="C341" t="s">
        <v>123</v>
      </c>
      <c r="D341" s="55" t="s">
        <v>114</v>
      </c>
      <c r="E341" s="66">
        <v>46566</v>
      </c>
      <c r="F341" s="55" t="s">
        <v>122</v>
      </c>
      <c r="G341" t="s">
        <v>175</v>
      </c>
    </row>
    <row r="342" spans="1:7" x14ac:dyDescent="0.25">
      <c r="A342">
        <v>2675828</v>
      </c>
      <c r="B342" t="s">
        <v>138</v>
      </c>
      <c r="C342" t="s">
        <v>140</v>
      </c>
      <c r="D342" s="55" t="s">
        <v>155</v>
      </c>
      <c r="E342" s="66">
        <v>45524</v>
      </c>
      <c r="F342" s="55" t="s">
        <v>170</v>
      </c>
      <c r="G342" t="s">
        <v>174</v>
      </c>
    </row>
    <row r="343" spans="1:7" hidden="1" x14ac:dyDescent="0.25">
      <c r="A343">
        <v>3118311</v>
      </c>
      <c r="B343" t="s">
        <v>138</v>
      </c>
      <c r="C343" t="s">
        <v>140</v>
      </c>
      <c r="D343" s="55" t="s">
        <v>116</v>
      </c>
      <c r="E343" s="66">
        <v>46251</v>
      </c>
      <c r="F343" s="55" t="s">
        <v>117</v>
      </c>
      <c r="G343" t="s">
        <v>175</v>
      </c>
    </row>
    <row r="344" spans="1:7" hidden="1" x14ac:dyDescent="0.25">
      <c r="A344">
        <v>3186222</v>
      </c>
      <c r="B344" t="s">
        <v>125</v>
      </c>
      <c r="C344" t="s">
        <v>90</v>
      </c>
      <c r="D344" s="55" t="s">
        <v>88</v>
      </c>
      <c r="E344" s="66">
        <v>46021</v>
      </c>
      <c r="F344" s="55" t="s">
        <v>89</v>
      </c>
      <c r="G344" t="s">
        <v>175</v>
      </c>
    </row>
    <row r="345" spans="1:7" x14ac:dyDescent="0.25">
      <c r="A345">
        <v>2675827</v>
      </c>
      <c r="B345" t="s">
        <v>138</v>
      </c>
      <c r="C345" t="s">
        <v>140</v>
      </c>
      <c r="D345" s="55" t="s">
        <v>155</v>
      </c>
      <c r="E345" s="66">
        <v>45524</v>
      </c>
      <c r="F345" s="55" t="s">
        <v>170</v>
      </c>
      <c r="G345" t="s">
        <v>174</v>
      </c>
    </row>
    <row r="346" spans="1:7" hidden="1" x14ac:dyDescent="0.25">
      <c r="A346">
        <v>2977741</v>
      </c>
      <c r="B346" t="s">
        <v>138</v>
      </c>
      <c r="C346" t="s">
        <v>101</v>
      </c>
      <c r="D346" s="55" t="s">
        <v>97</v>
      </c>
      <c r="E346" s="66">
        <v>46066</v>
      </c>
      <c r="F346" s="55" t="s">
        <v>98</v>
      </c>
      <c r="G346" t="s">
        <v>175</v>
      </c>
    </row>
    <row r="347" spans="1:7" hidden="1" x14ac:dyDescent="0.25">
      <c r="A347">
        <v>2977756</v>
      </c>
      <c r="B347" t="s">
        <v>138</v>
      </c>
      <c r="C347" t="s">
        <v>101</v>
      </c>
      <c r="D347" s="55" t="s">
        <v>97</v>
      </c>
      <c r="E347" s="66">
        <v>46066</v>
      </c>
      <c r="F347" s="55" t="s">
        <v>98</v>
      </c>
      <c r="G347" t="s">
        <v>175</v>
      </c>
    </row>
    <row r="348" spans="1:7" hidden="1" x14ac:dyDescent="0.25">
      <c r="A348">
        <v>3118495</v>
      </c>
      <c r="B348" t="s">
        <v>138</v>
      </c>
      <c r="C348" t="s">
        <v>140</v>
      </c>
      <c r="D348" s="55" t="s">
        <v>116</v>
      </c>
      <c r="E348" s="66">
        <v>46251</v>
      </c>
      <c r="F348" s="55" t="s">
        <v>117</v>
      </c>
      <c r="G348" t="s">
        <v>175</v>
      </c>
    </row>
    <row r="349" spans="1:7" hidden="1" x14ac:dyDescent="0.25">
      <c r="A349">
        <v>2977637</v>
      </c>
      <c r="B349" t="s">
        <v>138</v>
      </c>
      <c r="C349" t="s">
        <v>100</v>
      </c>
      <c r="D349" s="55" t="s">
        <v>97</v>
      </c>
      <c r="E349" s="66">
        <v>46066</v>
      </c>
      <c r="F349" s="55" t="s">
        <v>98</v>
      </c>
      <c r="G349" t="s">
        <v>175</v>
      </c>
    </row>
    <row r="350" spans="1:7" hidden="1" x14ac:dyDescent="0.25">
      <c r="A350">
        <v>3070314</v>
      </c>
      <c r="B350" t="s">
        <v>138</v>
      </c>
      <c r="C350" t="s">
        <v>140</v>
      </c>
      <c r="D350" s="55" t="s">
        <v>108</v>
      </c>
      <c r="E350" s="66">
        <v>46188</v>
      </c>
      <c r="F350" s="55" t="s">
        <v>109</v>
      </c>
      <c r="G350" t="s">
        <v>175</v>
      </c>
    </row>
    <row r="351" spans="1:7" hidden="1" x14ac:dyDescent="0.25">
      <c r="A351">
        <v>3336468</v>
      </c>
      <c r="B351" t="s">
        <v>138</v>
      </c>
      <c r="C351" t="s">
        <v>101</v>
      </c>
      <c r="D351" s="55" t="s">
        <v>114</v>
      </c>
      <c r="E351" s="66">
        <v>46566</v>
      </c>
      <c r="F351" s="55" t="s">
        <v>122</v>
      </c>
      <c r="G351" t="s">
        <v>175</v>
      </c>
    </row>
    <row r="352" spans="1:7" x14ac:dyDescent="0.25">
      <c r="A352">
        <v>2834843</v>
      </c>
      <c r="B352" t="s">
        <v>138</v>
      </c>
      <c r="C352" t="s">
        <v>140</v>
      </c>
      <c r="D352" s="55" t="s">
        <v>153</v>
      </c>
      <c r="E352" s="66">
        <v>45818</v>
      </c>
      <c r="F352" s="55" t="s">
        <v>167</v>
      </c>
      <c r="G352" t="s">
        <v>174</v>
      </c>
    </row>
    <row r="353" spans="1:7" x14ac:dyDescent="0.25">
      <c r="A353">
        <v>2834849</v>
      </c>
      <c r="B353" t="s">
        <v>138</v>
      </c>
      <c r="C353" t="s">
        <v>140</v>
      </c>
      <c r="D353" s="55" t="s">
        <v>153</v>
      </c>
      <c r="E353" s="66">
        <v>45818</v>
      </c>
      <c r="F353" s="55" t="s">
        <v>167</v>
      </c>
      <c r="G353" t="s">
        <v>174</v>
      </c>
    </row>
  </sheetData>
  <autoFilter ref="A1:G353" xr:uid="{432DE40F-607F-4313-9961-49068D1731E9}">
    <filterColumn colId="6">
      <filters>
        <filter val="Terminada por fech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CFAC-9467-4C5B-9746-07A6A2B200D8}">
  <dimension ref="A2:B247"/>
  <sheetViews>
    <sheetView topLeftCell="A211" workbookViewId="0">
      <selection activeCell="N163" sqref="N163"/>
    </sheetView>
  </sheetViews>
  <sheetFormatPr baseColWidth="10" defaultRowHeight="15" x14ac:dyDescent="0.25"/>
  <sheetData>
    <row r="2" spans="1:2" x14ac:dyDescent="0.25">
      <c r="A2" s="94">
        <v>3118494</v>
      </c>
      <c r="B2" s="80" t="s">
        <v>465</v>
      </c>
    </row>
    <row r="3" spans="1:2" x14ac:dyDescent="0.25">
      <c r="A3" s="94">
        <v>3118495</v>
      </c>
      <c r="B3" s="80" t="s">
        <v>465</v>
      </c>
    </row>
    <row r="4" spans="1:2" x14ac:dyDescent="0.25">
      <c r="A4" s="94">
        <v>3118496</v>
      </c>
      <c r="B4" s="80" t="s">
        <v>465</v>
      </c>
    </row>
    <row r="5" spans="1:2" x14ac:dyDescent="0.25">
      <c r="A5" s="94">
        <v>3336169</v>
      </c>
      <c r="B5" s="80" t="s">
        <v>465</v>
      </c>
    </row>
    <row r="6" spans="1:2" x14ac:dyDescent="0.25">
      <c r="A6" s="94">
        <v>2977458</v>
      </c>
      <c r="B6" s="80" t="s">
        <v>466</v>
      </c>
    </row>
    <row r="7" spans="1:2" x14ac:dyDescent="0.25">
      <c r="A7" s="94">
        <v>2977459</v>
      </c>
      <c r="B7" s="80" t="s">
        <v>466</v>
      </c>
    </row>
    <row r="8" spans="1:2" x14ac:dyDescent="0.25">
      <c r="A8" s="94">
        <v>2977460</v>
      </c>
      <c r="B8" s="80" t="s">
        <v>466</v>
      </c>
    </row>
    <row r="9" spans="1:2" x14ac:dyDescent="0.25">
      <c r="A9" s="94">
        <v>2977461</v>
      </c>
      <c r="B9" s="80" t="s">
        <v>466</v>
      </c>
    </row>
    <row r="10" spans="1:2" x14ac:dyDescent="0.25">
      <c r="A10" s="94">
        <v>2977469</v>
      </c>
      <c r="B10" s="80" t="s">
        <v>466</v>
      </c>
    </row>
    <row r="11" spans="1:2" x14ac:dyDescent="0.25">
      <c r="A11" s="94">
        <v>3336172</v>
      </c>
      <c r="B11" s="80" t="s">
        <v>466</v>
      </c>
    </row>
    <row r="12" spans="1:2" x14ac:dyDescent="0.25">
      <c r="A12" s="94">
        <v>3336175</v>
      </c>
      <c r="B12" s="80" t="s">
        <v>466</v>
      </c>
    </row>
    <row r="13" spans="1:2" x14ac:dyDescent="0.25">
      <c r="A13" s="94">
        <v>3336176</v>
      </c>
      <c r="B13" s="80" t="s">
        <v>466</v>
      </c>
    </row>
    <row r="14" spans="1:2" x14ac:dyDescent="0.25">
      <c r="A14" s="94">
        <v>3336178</v>
      </c>
      <c r="B14" s="80" t="s">
        <v>466</v>
      </c>
    </row>
    <row r="15" spans="1:2" x14ac:dyDescent="0.25">
      <c r="A15" s="94">
        <v>3118311</v>
      </c>
      <c r="B15" s="80" t="s">
        <v>284</v>
      </c>
    </row>
    <row r="16" spans="1:2" x14ac:dyDescent="0.25">
      <c r="A16" s="94">
        <v>3118491</v>
      </c>
      <c r="B16" s="80" t="s">
        <v>284</v>
      </c>
    </row>
    <row r="17" spans="1:2" x14ac:dyDescent="0.25">
      <c r="A17" s="94">
        <v>3118492</v>
      </c>
      <c r="B17" s="80" t="s">
        <v>284</v>
      </c>
    </row>
    <row r="18" spans="1:2" x14ac:dyDescent="0.25">
      <c r="A18" s="94">
        <v>3118493</v>
      </c>
      <c r="B18" s="80" t="s">
        <v>284</v>
      </c>
    </row>
    <row r="19" spans="1:2" x14ac:dyDescent="0.25">
      <c r="A19" s="94">
        <v>3070316</v>
      </c>
      <c r="B19" s="80" t="s">
        <v>328</v>
      </c>
    </row>
    <row r="20" spans="1:2" x14ac:dyDescent="0.25">
      <c r="A20" s="94">
        <v>3070317</v>
      </c>
      <c r="B20" s="80" t="s">
        <v>328</v>
      </c>
    </row>
    <row r="21" spans="1:2" x14ac:dyDescent="0.25">
      <c r="A21" s="94">
        <v>3070318</v>
      </c>
      <c r="B21" s="80" t="s">
        <v>328</v>
      </c>
    </row>
    <row r="22" spans="1:2" x14ac:dyDescent="0.25">
      <c r="A22" s="94">
        <v>3070319</v>
      </c>
      <c r="B22" s="80" t="s">
        <v>328</v>
      </c>
    </row>
    <row r="23" spans="1:2" x14ac:dyDescent="0.25">
      <c r="A23" s="94">
        <v>3235974</v>
      </c>
      <c r="B23" s="80" t="s">
        <v>396</v>
      </c>
    </row>
    <row r="24" spans="1:2" x14ac:dyDescent="0.25">
      <c r="A24" s="94">
        <v>3235975</v>
      </c>
      <c r="B24" s="80" t="s">
        <v>396</v>
      </c>
    </row>
    <row r="25" spans="1:2" x14ac:dyDescent="0.25">
      <c r="A25" s="94">
        <v>3235976</v>
      </c>
      <c r="B25" s="80" t="s">
        <v>396</v>
      </c>
    </row>
    <row r="26" spans="1:2" x14ac:dyDescent="0.25">
      <c r="A26" s="94">
        <v>2977756</v>
      </c>
      <c r="B26" s="80" t="s">
        <v>396</v>
      </c>
    </row>
    <row r="27" spans="1:2" x14ac:dyDescent="0.25">
      <c r="A27" s="94">
        <v>2977757</v>
      </c>
      <c r="B27" s="80" t="s">
        <v>396</v>
      </c>
    </row>
    <row r="28" spans="1:2" x14ac:dyDescent="0.25">
      <c r="A28" s="94">
        <v>2977758</v>
      </c>
      <c r="B28" s="80" t="s">
        <v>396</v>
      </c>
    </row>
    <row r="29" spans="1:2" x14ac:dyDescent="0.25">
      <c r="A29" s="94">
        <v>3118505</v>
      </c>
      <c r="B29" s="80" t="s">
        <v>467</v>
      </c>
    </row>
    <row r="30" spans="1:2" x14ac:dyDescent="0.25">
      <c r="A30" s="94">
        <v>3118506</v>
      </c>
      <c r="B30" s="80" t="s">
        <v>467</v>
      </c>
    </row>
    <row r="31" spans="1:2" x14ac:dyDescent="0.25">
      <c r="A31" s="94">
        <v>3118507</v>
      </c>
      <c r="B31" s="80" t="s">
        <v>467</v>
      </c>
    </row>
    <row r="32" spans="1:2" x14ac:dyDescent="0.25">
      <c r="A32" s="94">
        <v>3185927</v>
      </c>
      <c r="B32" s="80" t="s">
        <v>467</v>
      </c>
    </row>
    <row r="33" spans="1:2" x14ac:dyDescent="0.25">
      <c r="A33" s="94">
        <v>3336461</v>
      </c>
      <c r="B33" s="80" t="s">
        <v>467</v>
      </c>
    </row>
    <row r="34" spans="1:2" x14ac:dyDescent="0.25">
      <c r="A34" s="94">
        <v>3185928</v>
      </c>
      <c r="B34" s="80" t="s">
        <v>468</v>
      </c>
    </row>
    <row r="35" spans="1:2" x14ac:dyDescent="0.25">
      <c r="A35" s="94">
        <v>3185929</v>
      </c>
      <c r="B35" s="80" t="s">
        <v>468</v>
      </c>
    </row>
    <row r="36" spans="1:2" x14ac:dyDescent="0.25">
      <c r="A36" s="94">
        <v>3185930</v>
      </c>
      <c r="B36" s="80" t="s">
        <v>468</v>
      </c>
    </row>
    <row r="37" spans="1:2" x14ac:dyDescent="0.25">
      <c r="A37" s="94">
        <v>3185931</v>
      </c>
      <c r="B37" s="80" t="s">
        <v>468</v>
      </c>
    </row>
    <row r="38" spans="1:2" x14ac:dyDescent="0.25">
      <c r="A38" s="94">
        <v>2977457</v>
      </c>
      <c r="B38" s="80" t="s">
        <v>273</v>
      </c>
    </row>
    <row r="39" spans="1:2" x14ac:dyDescent="0.25">
      <c r="A39" s="94">
        <v>3118497</v>
      </c>
      <c r="B39" s="80" t="s">
        <v>273</v>
      </c>
    </row>
    <row r="40" spans="1:2" x14ac:dyDescent="0.25">
      <c r="A40" s="94">
        <v>3118498</v>
      </c>
      <c r="B40" s="80" t="s">
        <v>273</v>
      </c>
    </row>
    <row r="41" spans="1:2" x14ac:dyDescent="0.25">
      <c r="A41" s="94">
        <v>3118499</v>
      </c>
      <c r="B41" s="80" t="s">
        <v>273</v>
      </c>
    </row>
    <row r="42" spans="1:2" x14ac:dyDescent="0.25">
      <c r="A42" s="94">
        <v>3336174</v>
      </c>
      <c r="B42" s="80" t="s">
        <v>273</v>
      </c>
    </row>
    <row r="43" spans="1:2" x14ac:dyDescent="0.25">
      <c r="A43" s="94">
        <v>2977462</v>
      </c>
      <c r="B43" s="80" t="s">
        <v>283</v>
      </c>
    </row>
    <row r="44" spans="1:2" x14ac:dyDescent="0.25">
      <c r="A44" s="94">
        <v>2977463</v>
      </c>
      <c r="B44" s="80" t="s">
        <v>283</v>
      </c>
    </row>
    <row r="45" spans="1:2" x14ac:dyDescent="0.25">
      <c r="A45" s="94">
        <v>2977464</v>
      </c>
      <c r="B45" s="80" t="s">
        <v>283</v>
      </c>
    </row>
    <row r="46" spans="1:2" x14ac:dyDescent="0.25">
      <c r="A46" s="94">
        <v>2977465</v>
      </c>
      <c r="B46" s="80" t="s">
        <v>283</v>
      </c>
    </row>
    <row r="47" spans="1:2" x14ac:dyDescent="0.25">
      <c r="A47" s="94">
        <v>3134550</v>
      </c>
      <c r="B47" s="80" t="s">
        <v>283</v>
      </c>
    </row>
    <row r="48" spans="1:2" x14ac:dyDescent="0.25">
      <c r="A48" s="94">
        <v>3134621</v>
      </c>
      <c r="B48" s="80" t="s">
        <v>283</v>
      </c>
    </row>
    <row r="49" spans="1:2" x14ac:dyDescent="0.25">
      <c r="A49" s="94">
        <v>3235889</v>
      </c>
      <c r="B49" s="80" t="s">
        <v>387</v>
      </c>
    </row>
    <row r="50" spans="1:2" x14ac:dyDescent="0.25">
      <c r="A50" s="94">
        <v>3235890</v>
      </c>
      <c r="B50" s="80" t="s">
        <v>387</v>
      </c>
    </row>
    <row r="51" spans="1:2" x14ac:dyDescent="0.25">
      <c r="A51" s="94">
        <v>3235891</v>
      </c>
      <c r="B51" s="80" t="s">
        <v>387</v>
      </c>
    </row>
    <row r="52" spans="1:2" x14ac:dyDescent="0.25">
      <c r="A52" s="94">
        <v>3235892</v>
      </c>
      <c r="B52" s="80" t="s">
        <v>387</v>
      </c>
    </row>
    <row r="53" spans="1:2" x14ac:dyDescent="0.25">
      <c r="A53" s="94">
        <v>3134622</v>
      </c>
      <c r="B53" s="80" t="s">
        <v>387</v>
      </c>
    </row>
    <row r="54" spans="1:2" x14ac:dyDescent="0.25">
      <c r="A54" s="94">
        <v>3134623</v>
      </c>
      <c r="B54" s="80" t="s">
        <v>387</v>
      </c>
    </row>
    <row r="55" spans="1:2" x14ac:dyDescent="0.25">
      <c r="A55" s="94">
        <v>3070320</v>
      </c>
      <c r="B55" s="80" t="s">
        <v>387</v>
      </c>
    </row>
    <row r="56" spans="1:2" x14ac:dyDescent="0.25">
      <c r="A56" s="94">
        <v>3070321</v>
      </c>
      <c r="B56" s="80" t="s">
        <v>387</v>
      </c>
    </row>
    <row r="57" spans="1:2" x14ac:dyDescent="0.25">
      <c r="A57" s="94">
        <v>3070326</v>
      </c>
      <c r="B57" s="80" t="s">
        <v>469</v>
      </c>
    </row>
    <row r="58" spans="1:2" x14ac:dyDescent="0.25">
      <c r="A58" s="94">
        <v>3336182</v>
      </c>
      <c r="B58" s="80" t="s">
        <v>469</v>
      </c>
    </row>
    <row r="59" spans="1:2" x14ac:dyDescent="0.25">
      <c r="A59" s="94">
        <v>3070296</v>
      </c>
      <c r="B59" s="80" t="s">
        <v>469</v>
      </c>
    </row>
    <row r="60" spans="1:2" x14ac:dyDescent="0.25">
      <c r="A60" s="94">
        <v>3070322</v>
      </c>
      <c r="B60" s="80" t="s">
        <v>334</v>
      </c>
    </row>
    <row r="61" spans="1:2" x14ac:dyDescent="0.25">
      <c r="A61" s="94">
        <v>3070323</v>
      </c>
      <c r="B61" s="80" t="s">
        <v>334</v>
      </c>
    </row>
    <row r="62" spans="1:2" x14ac:dyDescent="0.25">
      <c r="A62" s="94">
        <v>3070324</v>
      </c>
      <c r="B62" s="80" t="s">
        <v>334</v>
      </c>
    </row>
    <row r="63" spans="1:2" x14ac:dyDescent="0.25">
      <c r="A63" s="94">
        <v>3070325</v>
      </c>
      <c r="B63" s="80" t="s">
        <v>334</v>
      </c>
    </row>
    <row r="64" spans="1:2" x14ac:dyDescent="0.25">
      <c r="A64" s="94">
        <v>3118374</v>
      </c>
      <c r="B64" s="80" t="s">
        <v>470</v>
      </c>
    </row>
    <row r="65" spans="1:2" x14ac:dyDescent="0.25">
      <c r="A65" s="94">
        <v>3118500</v>
      </c>
      <c r="B65" s="80" t="s">
        <v>470</v>
      </c>
    </row>
    <row r="66" spans="1:2" x14ac:dyDescent="0.25">
      <c r="A66" s="94">
        <v>3118501</v>
      </c>
      <c r="B66" s="80" t="s">
        <v>470</v>
      </c>
    </row>
    <row r="67" spans="1:2" x14ac:dyDescent="0.25">
      <c r="A67" s="94">
        <v>3336459</v>
      </c>
      <c r="B67" s="80" t="s">
        <v>470</v>
      </c>
    </row>
    <row r="68" spans="1:2" x14ac:dyDescent="0.25">
      <c r="A68" s="94">
        <v>3336463</v>
      </c>
      <c r="B68" s="80" t="s">
        <v>470</v>
      </c>
    </row>
    <row r="69" spans="1:2" x14ac:dyDescent="0.25">
      <c r="A69" s="94">
        <v>2977470</v>
      </c>
      <c r="B69" s="80" t="s">
        <v>471</v>
      </c>
    </row>
    <row r="70" spans="1:2" x14ac:dyDescent="0.25">
      <c r="A70" s="94">
        <v>2977471</v>
      </c>
      <c r="B70" s="80" t="s">
        <v>471</v>
      </c>
    </row>
    <row r="71" spans="1:2" x14ac:dyDescent="0.25">
      <c r="A71" s="94">
        <v>2977472</v>
      </c>
      <c r="B71" s="80" t="s">
        <v>471</v>
      </c>
    </row>
    <row r="72" spans="1:2" x14ac:dyDescent="0.25">
      <c r="A72" s="94">
        <v>2977473</v>
      </c>
      <c r="B72" s="80" t="s">
        <v>471</v>
      </c>
    </row>
    <row r="73" spans="1:2" x14ac:dyDescent="0.25">
      <c r="A73" s="94">
        <v>3336170</v>
      </c>
      <c r="B73" s="80" t="s">
        <v>471</v>
      </c>
    </row>
    <row r="74" spans="1:2" x14ac:dyDescent="0.25">
      <c r="A74" s="94">
        <v>3336179</v>
      </c>
      <c r="B74" s="80" t="s">
        <v>471</v>
      </c>
    </row>
    <row r="75" spans="1:2" x14ac:dyDescent="0.25">
      <c r="A75" s="94">
        <v>2977135</v>
      </c>
      <c r="B75" s="80" t="s">
        <v>472</v>
      </c>
    </row>
    <row r="76" spans="1:2" x14ac:dyDescent="0.25">
      <c r="A76" s="94">
        <v>2977136</v>
      </c>
      <c r="B76" s="80" t="s">
        <v>472</v>
      </c>
    </row>
    <row r="77" spans="1:2" x14ac:dyDescent="0.25">
      <c r="A77" s="94">
        <v>2977137</v>
      </c>
      <c r="B77" s="80" t="s">
        <v>472</v>
      </c>
    </row>
    <row r="78" spans="1:2" x14ac:dyDescent="0.25">
      <c r="A78" s="94">
        <v>2977138</v>
      </c>
      <c r="B78" s="80" t="s">
        <v>472</v>
      </c>
    </row>
    <row r="79" spans="1:2" x14ac:dyDescent="0.25">
      <c r="A79" s="94">
        <v>3236532</v>
      </c>
      <c r="B79" s="80" t="s">
        <v>472</v>
      </c>
    </row>
    <row r="80" spans="1:2" x14ac:dyDescent="0.25">
      <c r="A80" s="94">
        <v>3070364</v>
      </c>
      <c r="B80" s="80" t="s">
        <v>472</v>
      </c>
    </row>
    <row r="81" spans="1:2" x14ac:dyDescent="0.25">
      <c r="A81" s="94">
        <v>3235893</v>
      </c>
      <c r="B81" s="80" t="s">
        <v>473</v>
      </c>
    </row>
    <row r="82" spans="1:2" x14ac:dyDescent="0.25">
      <c r="A82" s="94">
        <v>3235894</v>
      </c>
      <c r="B82" s="80" t="s">
        <v>473</v>
      </c>
    </row>
    <row r="83" spans="1:2" x14ac:dyDescent="0.25">
      <c r="A83" s="94">
        <v>3235895</v>
      </c>
      <c r="B83" s="80" t="s">
        <v>473</v>
      </c>
    </row>
    <row r="84" spans="1:2" x14ac:dyDescent="0.25">
      <c r="A84" s="94">
        <v>3235896</v>
      </c>
      <c r="B84" s="80" t="s">
        <v>473</v>
      </c>
    </row>
    <row r="85" spans="1:2" x14ac:dyDescent="0.25">
      <c r="A85" s="94">
        <v>3336184</v>
      </c>
      <c r="B85" s="80" t="s">
        <v>473</v>
      </c>
    </row>
    <row r="86" spans="1:2" x14ac:dyDescent="0.25">
      <c r="A86" s="94">
        <v>3336183</v>
      </c>
      <c r="B86" s="80" t="s">
        <v>473</v>
      </c>
    </row>
    <row r="87" spans="1:2" x14ac:dyDescent="0.25">
      <c r="A87" s="94">
        <v>3070313</v>
      </c>
      <c r="B87" s="80" t="s">
        <v>474</v>
      </c>
    </row>
    <row r="88" spans="1:2" x14ac:dyDescent="0.25">
      <c r="A88" s="94">
        <v>3070314</v>
      </c>
      <c r="B88" s="80" t="s">
        <v>474</v>
      </c>
    </row>
    <row r="89" spans="1:2" x14ac:dyDescent="0.25">
      <c r="A89" s="94">
        <v>3070315</v>
      </c>
      <c r="B89" s="80" t="s">
        <v>474</v>
      </c>
    </row>
    <row r="90" spans="1:2" x14ac:dyDescent="0.25">
      <c r="A90" s="94">
        <v>3118505</v>
      </c>
      <c r="B90" s="80" t="s">
        <v>475</v>
      </c>
    </row>
    <row r="91" spans="1:2" x14ac:dyDescent="0.25">
      <c r="A91" s="94">
        <v>3118506</v>
      </c>
      <c r="B91" s="80" t="s">
        <v>475</v>
      </c>
    </row>
    <row r="92" spans="1:2" x14ac:dyDescent="0.25">
      <c r="A92" s="94">
        <v>3118507</v>
      </c>
      <c r="B92" s="80" t="s">
        <v>475</v>
      </c>
    </row>
    <row r="93" spans="1:2" x14ac:dyDescent="0.25">
      <c r="A93" s="94">
        <v>3185927</v>
      </c>
      <c r="B93" s="80" t="s">
        <v>475</v>
      </c>
    </row>
    <row r="94" spans="1:2" x14ac:dyDescent="0.25">
      <c r="A94" s="94">
        <v>3336462</v>
      </c>
      <c r="B94" s="80" t="s">
        <v>475</v>
      </c>
    </row>
    <row r="95" spans="1:2" x14ac:dyDescent="0.25">
      <c r="A95" s="94">
        <v>3118510</v>
      </c>
      <c r="B95" s="80" t="s">
        <v>476</v>
      </c>
    </row>
    <row r="96" spans="1:2" x14ac:dyDescent="0.25">
      <c r="A96" s="94">
        <v>3118511</v>
      </c>
      <c r="B96" s="80" t="s">
        <v>476</v>
      </c>
    </row>
    <row r="97" spans="1:2" x14ac:dyDescent="0.25">
      <c r="A97" s="94">
        <v>3118512</v>
      </c>
      <c r="B97" s="80" t="s">
        <v>476</v>
      </c>
    </row>
    <row r="98" spans="1:2" x14ac:dyDescent="0.25">
      <c r="A98" s="94">
        <v>3186008</v>
      </c>
      <c r="B98" s="80" t="s">
        <v>476</v>
      </c>
    </row>
    <row r="99" spans="1:2" x14ac:dyDescent="0.25">
      <c r="A99" s="94">
        <v>3186630</v>
      </c>
      <c r="B99" s="80" t="s">
        <v>477</v>
      </c>
    </row>
    <row r="100" spans="1:2" x14ac:dyDescent="0.25">
      <c r="A100" s="94">
        <v>3186631</v>
      </c>
      <c r="B100" s="80" t="s">
        <v>477</v>
      </c>
    </row>
    <row r="101" spans="1:2" x14ac:dyDescent="0.25">
      <c r="A101" s="94">
        <v>3336171</v>
      </c>
      <c r="B101" s="80" t="s">
        <v>477</v>
      </c>
    </row>
    <row r="102" spans="1:2" x14ac:dyDescent="0.25">
      <c r="A102" s="94">
        <v>3336180</v>
      </c>
      <c r="B102" s="80" t="s">
        <v>477</v>
      </c>
    </row>
    <row r="103" spans="1:2" x14ac:dyDescent="0.25">
      <c r="A103" s="94">
        <v>2977746</v>
      </c>
      <c r="B103" s="80" t="s">
        <v>478</v>
      </c>
    </row>
    <row r="104" spans="1:2" x14ac:dyDescent="0.25">
      <c r="A104" s="94">
        <v>2977747</v>
      </c>
      <c r="B104" s="80" t="s">
        <v>478</v>
      </c>
    </row>
    <row r="105" spans="1:2" x14ac:dyDescent="0.25">
      <c r="A105" s="94">
        <v>2977748</v>
      </c>
      <c r="B105" s="80" t="s">
        <v>478</v>
      </c>
    </row>
    <row r="106" spans="1:2" x14ac:dyDescent="0.25">
      <c r="A106" s="94">
        <v>2977749</v>
      </c>
      <c r="B106" s="80" t="s">
        <v>478</v>
      </c>
    </row>
    <row r="107" spans="1:2" x14ac:dyDescent="0.25">
      <c r="A107" s="94">
        <v>2977750</v>
      </c>
      <c r="B107" s="80" t="s">
        <v>478</v>
      </c>
    </row>
    <row r="108" spans="1:2" x14ac:dyDescent="0.25">
      <c r="A108" s="94">
        <v>3070339</v>
      </c>
      <c r="B108" s="80" t="s">
        <v>478</v>
      </c>
    </row>
    <row r="109" spans="1:2" x14ac:dyDescent="0.25">
      <c r="A109" s="94">
        <v>3070340</v>
      </c>
      <c r="B109" s="80" t="s">
        <v>478</v>
      </c>
    </row>
    <row r="110" spans="1:2" x14ac:dyDescent="0.25">
      <c r="A110" s="94">
        <v>3070341</v>
      </c>
      <c r="B110" s="80" t="s">
        <v>478</v>
      </c>
    </row>
    <row r="111" spans="1:2" x14ac:dyDescent="0.25">
      <c r="A111" s="94">
        <v>2977740</v>
      </c>
      <c r="B111" s="80" t="s">
        <v>479</v>
      </c>
    </row>
    <row r="112" spans="1:2" x14ac:dyDescent="0.25">
      <c r="A112" s="94">
        <v>2977741</v>
      </c>
      <c r="B112" s="80" t="s">
        <v>479</v>
      </c>
    </row>
    <row r="113" spans="1:2" x14ac:dyDescent="0.25">
      <c r="A113" s="94">
        <v>2977742</v>
      </c>
      <c r="B113" s="80" t="s">
        <v>479</v>
      </c>
    </row>
    <row r="114" spans="1:2" x14ac:dyDescent="0.25">
      <c r="A114" s="94">
        <v>2977743</v>
      </c>
      <c r="B114" s="80" t="s">
        <v>479</v>
      </c>
    </row>
    <row r="115" spans="1:2" x14ac:dyDescent="0.25">
      <c r="A115" s="94">
        <v>2977744</v>
      </c>
      <c r="B115" s="80" t="s">
        <v>479</v>
      </c>
    </row>
    <row r="116" spans="1:2" x14ac:dyDescent="0.25">
      <c r="A116" s="94">
        <v>2977745</v>
      </c>
      <c r="B116" s="80" t="s">
        <v>479</v>
      </c>
    </row>
    <row r="117" spans="1:2" x14ac:dyDescent="0.25">
      <c r="A117" s="94">
        <v>3070338</v>
      </c>
      <c r="B117" s="80" t="s">
        <v>479</v>
      </c>
    </row>
    <row r="118" spans="1:2" x14ac:dyDescent="0.25">
      <c r="A118" s="94">
        <v>3070342</v>
      </c>
      <c r="B118" s="80" t="s">
        <v>479</v>
      </c>
    </row>
    <row r="119" spans="1:2" x14ac:dyDescent="0.25">
      <c r="A119" s="94">
        <v>3070343</v>
      </c>
      <c r="B119" s="80" t="s">
        <v>479</v>
      </c>
    </row>
    <row r="120" spans="1:2" x14ac:dyDescent="0.25">
      <c r="A120" s="94">
        <v>2977466</v>
      </c>
      <c r="B120" s="80" t="s">
        <v>480</v>
      </c>
    </row>
    <row r="121" spans="1:2" x14ac:dyDescent="0.25">
      <c r="A121" s="94">
        <v>2977467</v>
      </c>
      <c r="B121" s="80" t="s">
        <v>480</v>
      </c>
    </row>
    <row r="122" spans="1:2" x14ac:dyDescent="0.25">
      <c r="A122" s="94">
        <v>2977468</v>
      </c>
      <c r="B122" s="80" t="s">
        <v>480</v>
      </c>
    </row>
    <row r="123" spans="1:2" x14ac:dyDescent="0.25">
      <c r="A123" s="94">
        <v>3336173</v>
      </c>
      <c r="B123" s="80" t="s">
        <v>480</v>
      </c>
    </row>
    <row r="124" spans="1:2" x14ac:dyDescent="0.25">
      <c r="A124" s="94">
        <v>3336177</v>
      </c>
      <c r="B124" s="80" t="s">
        <v>480</v>
      </c>
    </row>
    <row r="125" spans="1:2" x14ac:dyDescent="0.25">
      <c r="A125" s="94">
        <v>3336181</v>
      </c>
      <c r="B125" s="80" t="s">
        <v>480</v>
      </c>
    </row>
    <row r="126" spans="1:2" x14ac:dyDescent="0.25">
      <c r="A126" s="94">
        <v>3388640</v>
      </c>
      <c r="B126" s="80" t="s">
        <v>481</v>
      </c>
    </row>
    <row r="127" spans="1:2" x14ac:dyDescent="0.25">
      <c r="A127" s="94">
        <v>3388641</v>
      </c>
      <c r="B127" s="80" t="s">
        <v>481</v>
      </c>
    </row>
    <row r="128" spans="1:2" x14ac:dyDescent="0.25">
      <c r="A128" s="94">
        <v>3388642</v>
      </c>
      <c r="B128" s="80" t="s">
        <v>481</v>
      </c>
    </row>
    <row r="129" spans="1:2" x14ac:dyDescent="0.25">
      <c r="A129" s="94">
        <v>3388643</v>
      </c>
      <c r="B129" s="80" t="s">
        <v>481</v>
      </c>
    </row>
    <row r="130" spans="1:2" x14ac:dyDescent="0.25">
      <c r="A130" s="94">
        <v>3388644</v>
      </c>
      <c r="B130" s="80" t="s">
        <v>481</v>
      </c>
    </row>
    <row r="131" spans="1:2" x14ac:dyDescent="0.25">
      <c r="A131" s="94">
        <v>3388645</v>
      </c>
      <c r="B131" s="80" t="s">
        <v>481</v>
      </c>
    </row>
    <row r="132" spans="1:2" x14ac:dyDescent="0.25">
      <c r="A132" s="94">
        <v>2977751</v>
      </c>
      <c r="B132" s="80" t="s">
        <v>482</v>
      </c>
    </row>
    <row r="133" spans="1:2" x14ac:dyDescent="0.25">
      <c r="A133" s="94">
        <v>2977752</v>
      </c>
      <c r="B133" s="80" t="s">
        <v>482</v>
      </c>
    </row>
    <row r="134" spans="1:2" x14ac:dyDescent="0.25">
      <c r="A134" s="94">
        <v>2977753</v>
      </c>
      <c r="B134" s="80" t="s">
        <v>482</v>
      </c>
    </row>
    <row r="135" spans="1:2" x14ac:dyDescent="0.25">
      <c r="A135" s="94">
        <v>2977754</v>
      </c>
      <c r="B135" s="80" t="s">
        <v>482</v>
      </c>
    </row>
    <row r="136" spans="1:2" x14ac:dyDescent="0.25">
      <c r="A136" s="94">
        <v>2977755</v>
      </c>
      <c r="B136" s="80" t="s">
        <v>482</v>
      </c>
    </row>
    <row r="137" spans="1:2" x14ac:dyDescent="0.25">
      <c r="A137" s="94">
        <v>2977759</v>
      </c>
      <c r="B137" s="80" t="s">
        <v>482</v>
      </c>
    </row>
    <row r="138" spans="1:2" x14ac:dyDescent="0.25">
      <c r="A138" s="94">
        <v>3336466</v>
      </c>
      <c r="B138" s="80" t="s">
        <v>482</v>
      </c>
    </row>
    <row r="139" spans="1:2" x14ac:dyDescent="0.25">
      <c r="A139" s="94">
        <v>3118503</v>
      </c>
      <c r="B139" s="80" t="s">
        <v>482</v>
      </c>
    </row>
    <row r="140" spans="1:2" x14ac:dyDescent="0.25">
      <c r="A140" s="94">
        <v>3118504</v>
      </c>
      <c r="B140" s="80" t="s">
        <v>482</v>
      </c>
    </row>
    <row r="141" spans="1:2" x14ac:dyDescent="0.25">
      <c r="A141" s="94">
        <v>2977228</v>
      </c>
      <c r="B141" s="80" t="s">
        <v>483</v>
      </c>
    </row>
    <row r="142" spans="1:2" x14ac:dyDescent="0.25">
      <c r="A142" s="94">
        <v>2977229</v>
      </c>
      <c r="B142" s="80" t="s">
        <v>483</v>
      </c>
    </row>
    <row r="143" spans="1:2" x14ac:dyDescent="0.25">
      <c r="A143" s="94">
        <v>2977230</v>
      </c>
      <c r="B143" s="80" t="s">
        <v>483</v>
      </c>
    </row>
    <row r="144" spans="1:2" x14ac:dyDescent="0.25">
      <c r="A144" s="94">
        <v>3070348</v>
      </c>
      <c r="B144" s="80" t="s">
        <v>483</v>
      </c>
    </row>
    <row r="145" spans="1:2" x14ac:dyDescent="0.25">
      <c r="A145" s="94">
        <v>3070350</v>
      </c>
      <c r="B145" s="80" t="s">
        <v>483</v>
      </c>
    </row>
    <row r="146" spans="1:2" x14ac:dyDescent="0.25">
      <c r="A146" s="94">
        <v>3070351</v>
      </c>
      <c r="B146" s="80" t="s">
        <v>483</v>
      </c>
    </row>
    <row r="147" spans="1:2" x14ac:dyDescent="0.25">
      <c r="A147" s="94">
        <v>3335834</v>
      </c>
      <c r="B147" s="80" t="s">
        <v>484</v>
      </c>
    </row>
    <row r="148" spans="1:2" x14ac:dyDescent="0.25">
      <c r="A148" s="94">
        <v>3335844</v>
      </c>
      <c r="B148" s="80" t="s">
        <v>484</v>
      </c>
    </row>
    <row r="149" spans="1:2" x14ac:dyDescent="0.25">
      <c r="A149" s="94">
        <v>3335845</v>
      </c>
      <c r="B149" s="80" t="s">
        <v>484</v>
      </c>
    </row>
    <row r="150" spans="1:2" x14ac:dyDescent="0.25">
      <c r="A150" s="94">
        <v>3335846</v>
      </c>
      <c r="B150" s="80" t="s">
        <v>484</v>
      </c>
    </row>
    <row r="151" spans="1:2" x14ac:dyDescent="0.25">
      <c r="A151" s="94">
        <v>3388646</v>
      </c>
      <c r="B151" s="80" t="s">
        <v>484</v>
      </c>
    </row>
    <row r="152" spans="1:2" x14ac:dyDescent="0.25">
      <c r="A152" s="94">
        <v>3388647</v>
      </c>
      <c r="B152" s="80" t="s">
        <v>484</v>
      </c>
    </row>
    <row r="153" spans="1:2" x14ac:dyDescent="0.25">
      <c r="A153" s="94">
        <v>3070360</v>
      </c>
      <c r="B153" s="80" t="s">
        <v>485</v>
      </c>
    </row>
    <row r="154" spans="1:2" x14ac:dyDescent="0.25">
      <c r="A154" s="94">
        <v>3070361</v>
      </c>
      <c r="B154" s="80" t="s">
        <v>485</v>
      </c>
    </row>
    <row r="155" spans="1:2" x14ac:dyDescent="0.25">
      <c r="A155" s="94">
        <v>3070362</v>
      </c>
      <c r="B155" s="80" t="s">
        <v>485</v>
      </c>
    </row>
    <row r="156" spans="1:2" x14ac:dyDescent="0.25">
      <c r="A156" s="94">
        <v>3070363</v>
      </c>
      <c r="B156" s="80" t="s">
        <v>485</v>
      </c>
    </row>
    <row r="157" spans="1:2" x14ac:dyDescent="0.25">
      <c r="A157" s="94">
        <v>3185932</v>
      </c>
      <c r="B157" s="80" t="s">
        <v>486</v>
      </c>
    </row>
    <row r="158" spans="1:2" x14ac:dyDescent="0.25">
      <c r="A158" s="94">
        <v>3185933</v>
      </c>
      <c r="B158" s="80" t="s">
        <v>486</v>
      </c>
    </row>
    <row r="159" spans="1:2" x14ac:dyDescent="0.25">
      <c r="A159" s="94">
        <v>3185934</v>
      </c>
      <c r="B159" s="80" t="s">
        <v>486</v>
      </c>
    </row>
    <row r="160" spans="1:2" x14ac:dyDescent="0.25">
      <c r="A160" s="94">
        <v>3185935</v>
      </c>
      <c r="B160" s="80" t="s">
        <v>486</v>
      </c>
    </row>
    <row r="161" spans="1:2" x14ac:dyDescent="0.25">
      <c r="A161" s="94">
        <v>3118502</v>
      </c>
      <c r="B161" s="80" t="s">
        <v>486</v>
      </c>
    </row>
    <row r="162" spans="1:2" x14ac:dyDescent="0.25">
      <c r="A162" s="94">
        <v>3335836</v>
      </c>
      <c r="B162" s="80" t="s">
        <v>487</v>
      </c>
    </row>
    <row r="163" spans="1:2" x14ac:dyDescent="0.25">
      <c r="A163" s="94">
        <v>3335839</v>
      </c>
      <c r="B163" s="80" t="s">
        <v>487</v>
      </c>
    </row>
    <row r="164" spans="1:2" x14ac:dyDescent="0.25">
      <c r="A164" s="94">
        <v>3335847</v>
      </c>
      <c r="B164" s="80" t="s">
        <v>487</v>
      </c>
    </row>
    <row r="165" spans="1:2" x14ac:dyDescent="0.25">
      <c r="A165" s="94">
        <v>3388637</v>
      </c>
      <c r="B165" s="80" t="s">
        <v>487</v>
      </c>
    </row>
    <row r="166" spans="1:2" x14ac:dyDescent="0.25">
      <c r="A166" s="94">
        <v>3388638</v>
      </c>
      <c r="B166" s="80" t="s">
        <v>487</v>
      </c>
    </row>
    <row r="167" spans="1:2" x14ac:dyDescent="0.25">
      <c r="A167" s="94">
        <v>3388639</v>
      </c>
      <c r="B167" s="80" t="s">
        <v>487</v>
      </c>
    </row>
    <row r="168" spans="1:2" x14ac:dyDescent="0.25">
      <c r="A168" s="94">
        <v>3336287</v>
      </c>
      <c r="B168" s="80" t="s">
        <v>488</v>
      </c>
    </row>
    <row r="169" spans="1:2" x14ac:dyDescent="0.25">
      <c r="A169" s="94">
        <v>3336288</v>
      </c>
      <c r="B169" s="80" t="s">
        <v>488</v>
      </c>
    </row>
    <row r="170" spans="1:2" x14ac:dyDescent="0.25">
      <c r="A170" s="94">
        <v>3336285</v>
      </c>
      <c r="B170" s="80" t="s">
        <v>488</v>
      </c>
    </row>
    <row r="171" spans="1:2" x14ac:dyDescent="0.25">
      <c r="A171" s="94">
        <v>3336286</v>
      </c>
      <c r="B171" s="80" t="s">
        <v>488</v>
      </c>
    </row>
    <row r="172" spans="1:2" x14ac:dyDescent="0.25">
      <c r="A172" s="94">
        <v>3070334</v>
      </c>
      <c r="B172" s="80" t="s">
        <v>489</v>
      </c>
    </row>
    <row r="173" spans="1:2" x14ac:dyDescent="0.25">
      <c r="A173" s="94">
        <v>3070335</v>
      </c>
      <c r="B173" s="80" t="s">
        <v>489</v>
      </c>
    </row>
    <row r="174" spans="1:2" x14ac:dyDescent="0.25">
      <c r="A174" s="94">
        <v>3070336</v>
      </c>
      <c r="B174" s="80" t="s">
        <v>489</v>
      </c>
    </row>
    <row r="175" spans="1:2" x14ac:dyDescent="0.25">
      <c r="A175" s="94">
        <v>3070337</v>
      </c>
      <c r="B175" s="80" t="s">
        <v>489</v>
      </c>
    </row>
    <row r="176" spans="1:2" x14ac:dyDescent="0.25">
      <c r="A176" s="94">
        <v>3336464</v>
      </c>
      <c r="B176" s="80" t="s">
        <v>489</v>
      </c>
    </row>
    <row r="177" spans="1:2" x14ac:dyDescent="0.25">
      <c r="A177" s="94">
        <v>3336458</v>
      </c>
      <c r="B177" s="80" t="s">
        <v>490</v>
      </c>
    </row>
    <row r="178" spans="1:2" x14ac:dyDescent="0.25">
      <c r="A178" s="94">
        <v>3336465</v>
      </c>
      <c r="B178" s="80" t="s">
        <v>490</v>
      </c>
    </row>
    <row r="179" spans="1:2" x14ac:dyDescent="0.25">
      <c r="A179" s="94">
        <v>3336470</v>
      </c>
      <c r="B179" s="80" t="s">
        <v>490</v>
      </c>
    </row>
    <row r="180" spans="1:2" x14ac:dyDescent="0.25">
      <c r="A180" s="94">
        <v>3070344</v>
      </c>
      <c r="B180" s="80" t="s">
        <v>490</v>
      </c>
    </row>
    <row r="181" spans="1:2" x14ac:dyDescent="0.25">
      <c r="A181" s="94">
        <v>3070345</v>
      </c>
      <c r="B181" s="80" t="s">
        <v>490</v>
      </c>
    </row>
    <row r="182" spans="1:2" x14ac:dyDescent="0.25">
      <c r="A182" s="94">
        <v>3236062</v>
      </c>
      <c r="B182" s="80" t="s">
        <v>491</v>
      </c>
    </row>
    <row r="183" spans="1:2" x14ac:dyDescent="0.25">
      <c r="A183" s="94">
        <v>3236103</v>
      </c>
      <c r="B183" s="80" t="s">
        <v>491</v>
      </c>
    </row>
    <row r="184" spans="1:2" x14ac:dyDescent="0.25">
      <c r="A184" s="94">
        <v>3236104</v>
      </c>
      <c r="B184" s="80" t="s">
        <v>491</v>
      </c>
    </row>
    <row r="185" spans="1:2" x14ac:dyDescent="0.25">
      <c r="A185" s="94">
        <v>3335838</v>
      </c>
      <c r="B185" s="80" t="s">
        <v>491</v>
      </c>
    </row>
    <row r="186" spans="1:2" x14ac:dyDescent="0.25">
      <c r="A186" s="94">
        <v>2977760</v>
      </c>
      <c r="B186" s="80" t="s">
        <v>492</v>
      </c>
    </row>
    <row r="187" spans="1:2" x14ac:dyDescent="0.25">
      <c r="A187" s="94">
        <v>2977761</v>
      </c>
      <c r="B187" s="80" t="s">
        <v>492</v>
      </c>
    </row>
    <row r="188" spans="1:2" x14ac:dyDescent="0.25">
      <c r="A188" s="94">
        <v>2977762</v>
      </c>
      <c r="B188" s="80" t="s">
        <v>492</v>
      </c>
    </row>
    <row r="189" spans="1:2" x14ac:dyDescent="0.25">
      <c r="A189" s="94">
        <v>2977763</v>
      </c>
      <c r="B189" s="80" t="s">
        <v>492</v>
      </c>
    </row>
    <row r="190" spans="1:2" x14ac:dyDescent="0.25">
      <c r="A190" s="94">
        <v>2977764</v>
      </c>
      <c r="B190" s="80" t="s">
        <v>492</v>
      </c>
    </row>
    <row r="191" spans="1:2" x14ac:dyDescent="0.25">
      <c r="A191" s="94">
        <v>2995652</v>
      </c>
      <c r="B191" s="80" t="s">
        <v>492</v>
      </c>
    </row>
    <row r="192" spans="1:2" x14ac:dyDescent="0.25">
      <c r="A192" s="94">
        <v>3336467</v>
      </c>
      <c r="B192" s="80" t="s">
        <v>492</v>
      </c>
    </row>
    <row r="193" spans="1:2" x14ac:dyDescent="0.25">
      <c r="A193" s="94">
        <v>3336469</v>
      </c>
      <c r="B193" s="80" t="s">
        <v>492</v>
      </c>
    </row>
    <row r="194" spans="1:2" x14ac:dyDescent="0.25">
      <c r="A194" s="94">
        <v>3335849</v>
      </c>
      <c r="B194" s="80" t="s">
        <v>493</v>
      </c>
    </row>
    <row r="195" spans="1:2" x14ac:dyDescent="0.25">
      <c r="A195" s="94">
        <v>3335848</v>
      </c>
      <c r="B195" s="80" t="s">
        <v>493</v>
      </c>
    </row>
    <row r="196" spans="1:2" x14ac:dyDescent="0.25">
      <c r="A196" s="94">
        <v>3335842</v>
      </c>
      <c r="B196" s="80" t="s">
        <v>493</v>
      </c>
    </row>
    <row r="197" spans="1:2" x14ac:dyDescent="0.25">
      <c r="A197" s="94">
        <v>3335835</v>
      </c>
      <c r="B197" s="80" t="s">
        <v>493</v>
      </c>
    </row>
    <row r="198" spans="1:2" x14ac:dyDescent="0.25">
      <c r="A198" s="94">
        <v>3235912</v>
      </c>
      <c r="B198" s="80" t="s">
        <v>494</v>
      </c>
    </row>
    <row r="199" spans="1:2" x14ac:dyDescent="0.25">
      <c r="A199" s="94">
        <v>3235913</v>
      </c>
      <c r="B199" s="80" t="s">
        <v>494</v>
      </c>
    </row>
    <row r="200" spans="1:2" x14ac:dyDescent="0.25">
      <c r="A200" s="94">
        <v>3235914</v>
      </c>
      <c r="B200" s="80" t="s">
        <v>494</v>
      </c>
    </row>
    <row r="201" spans="1:2" x14ac:dyDescent="0.25">
      <c r="A201" s="94">
        <v>3336264</v>
      </c>
      <c r="B201" s="80" t="s">
        <v>494</v>
      </c>
    </row>
    <row r="202" spans="1:2" x14ac:dyDescent="0.25">
      <c r="A202" s="94">
        <v>2977634</v>
      </c>
      <c r="B202" s="80" t="s">
        <v>495</v>
      </c>
    </row>
    <row r="203" spans="1:2" x14ac:dyDescent="0.25">
      <c r="A203" s="94">
        <v>2977635</v>
      </c>
      <c r="B203" s="80" t="s">
        <v>495</v>
      </c>
    </row>
    <row r="204" spans="1:2" x14ac:dyDescent="0.25">
      <c r="A204" s="94">
        <v>2977636</v>
      </c>
      <c r="B204" s="80" t="s">
        <v>495</v>
      </c>
    </row>
    <row r="205" spans="1:2" x14ac:dyDescent="0.25">
      <c r="A205" s="94">
        <v>2977637</v>
      </c>
      <c r="B205" s="80" t="s">
        <v>495</v>
      </c>
    </row>
    <row r="206" spans="1:2" x14ac:dyDescent="0.25">
      <c r="A206" s="94">
        <v>3118513</v>
      </c>
      <c r="B206" s="80" t="s">
        <v>495</v>
      </c>
    </row>
    <row r="207" spans="1:2" x14ac:dyDescent="0.25">
      <c r="A207" s="94">
        <v>3118514</v>
      </c>
      <c r="B207" s="80" t="s">
        <v>495</v>
      </c>
    </row>
    <row r="208" spans="1:2" x14ac:dyDescent="0.25">
      <c r="A208" s="94">
        <v>3070358</v>
      </c>
      <c r="B208" s="80" t="s">
        <v>495</v>
      </c>
    </row>
    <row r="209" spans="1:2" x14ac:dyDescent="0.25">
      <c r="A209" s="94">
        <v>3118515</v>
      </c>
      <c r="B209" s="80" t="s">
        <v>495</v>
      </c>
    </row>
    <row r="210" spans="1:2" x14ac:dyDescent="0.25">
      <c r="A210" s="94">
        <v>2977225</v>
      </c>
      <c r="B210" s="80" t="s">
        <v>496</v>
      </c>
    </row>
    <row r="211" spans="1:2" x14ac:dyDescent="0.25">
      <c r="A211" s="94">
        <v>2977226</v>
      </c>
      <c r="B211" s="80" t="s">
        <v>496</v>
      </c>
    </row>
    <row r="212" spans="1:2" x14ac:dyDescent="0.25">
      <c r="A212" s="94">
        <v>2977227</v>
      </c>
      <c r="B212" s="80" t="s">
        <v>496</v>
      </c>
    </row>
    <row r="213" spans="1:2" x14ac:dyDescent="0.25">
      <c r="A213" s="94">
        <v>3118406</v>
      </c>
      <c r="B213" s="80" t="s">
        <v>496</v>
      </c>
    </row>
    <row r="214" spans="1:2" x14ac:dyDescent="0.25">
      <c r="A214" s="94">
        <v>3118508</v>
      </c>
      <c r="B214" s="80" t="s">
        <v>496</v>
      </c>
    </row>
    <row r="215" spans="1:2" x14ac:dyDescent="0.25">
      <c r="A215" s="94">
        <v>3118509</v>
      </c>
      <c r="B215" s="80" t="s">
        <v>496</v>
      </c>
    </row>
    <row r="216" spans="1:2" x14ac:dyDescent="0.25">
      <c r="A216" s="94">
        <v>3335840</v>
      </c>
      <c r="B216" s="80" t="s">
        <v>497</v>
      </c>
    </row>
    <row r="217" spans="1:2" x14ac:dyDescent="0.25">
      <c r="A217" s="94">
        <v>3335843</v>
      </c>
      <c r="B217" s="80" t="s">
        <v>497</v>
      </c>
    </row>
    <row r="218" spans="1:2" x14ac:dyDescent="0.25">
      <c r="A218" s="94">
        <v>3388653</v>
      </c>
      <c r="B218" s="80" t="s">
        <v>497</v>
      </c>
    </row>
    <row r="219" spans="1:2" x14ac:dyDescent="0.25">
      <c r="A219" s="94">
        <v>3388654</v>
      </c>
      <c r="B219" s="80" t="s">
        <v>497</v>
      </c>
    </row>
    <row r="220" spans="1:2" x14ac:dyDescent="0.25">
      <c r="A220" s="94">
        <v>3388652</v>
      </c>
      <c r="B220" s="80" t="s">
        <v>497</v>
      </c>
    </row>
    <row r="221" spans="1:2" x14ac:dyDescent="0.25">
      <c r="A221" s="94">
        <v>3236113</v>
      </c>
      <c r="B221" s="80" t="s">
        <v>497</v>
      </c>
    </row>
    <row r="222" spans="1:2" x14ac:dyDescent="0.25">
      <c r="A222" s="94">
        <v>3287439</v>
      </c>
      <c r="B222" s="80" t="s">
        <v>497</v>
      </c>
    </row>
    <row r="223" spans="1:2" x14ac:dyDescent="0.25">
      <c r="A223" s="95">
        <v>3388658</v>
      </c>
      <c r="B223" s="80" t="s">
        <v>230</v>
      </c>
    </row>
    <row r="224" spans="1:2" x14ac:dyDescent="0.25">
      <c r="A224" s="94">
        <v>3388659</v>
      </c>
      <c r="B224" s="80" t="s">
        <v>230</v>
      </c>
    </row>
    <row r="225" spans="1:2" x14ac:dyDescent="0.25">
      <c r="A225" s="96">
        <v>3388650</v>
      </c>
      <c r="B225" s="80" t="s">
        <v>230</v>
      </c>
    </row>
    <row r="226" spans="1:2" x14ac:dyDescent="0.25">
      <c r="A226" s="96">
        <v>3388651</v>
      </c>
      <c r="B226" s="80" t="s">
        <v>230</v>
      </c>
    </row>
    <row r="227" spans="1:2" x14ac:dyDescent="0.25">
      <c r="A227" s="94">
        <v>3388648</v>
      </c>
      <c r="B227" s="80" t="s">
        <v>230</v>
      </c>
    </row>
    <row r="228" spans="1:2" x14ac:dyDescent="0.25">
      <c r="A228" s="94">
        <v>3134586</v>
      </c>
      <c r="B228" s="80" t="s">
        <v>261</v>
      </c>
    </row>
    <row r="229" spans="1:2" x14ac:dyDescent="0.25">
      <c r="A229" s="94">
        <v>3134618</v>
      </c>
      <c r="B229" s="80" t="s">
        <v>261</v>
      </c>
    </row>
    <row r="230" spans="1:2" x14ac:dyDescent="0.25">
      <c r="A230" s="94">
        <v>3335698</v>
      </c>
      <c r="B230" s="80" t="s">
        <v>261</v>
      </c>
    </row>
    <row r="231" spans="1:2" x14ac:dyDescent="0.25">
      <c r="A231" s="94">
        <v>3335699</v>
      </c>
      <c r="B231" s="80" t="s">
        <v>261</v>
      </c>
    </row>
    <row r="232" spans="1:2" x14ac:dyDescent="0.25">
      <c r="A232" s="95">
        <v>3118502</v>
      </c>
      <c r="B232" s="80" t="s">
        <v>222</v>
      </c>
    </row>
    <row r="233" spans="1:2" x14ac:dyDescent="0.25">
      <c r="A233" s="95">
        <v>3118507</v>
      </c>
      <c r="B233" s="80" t="s">
        <v>222</v>
      </c>
    </row>
    <row r="234" spans="1:2" x14ac:dyDescent="0.25">
      <c r="A234" s="95">
        <v>3185932</v>
      </c>
      <c r="B234" s="80" t="s">
        <v>222</v>
      </c>
    </row>
    <row r="235" spans="1:2" x14ac:dyDescent="0.25">
      <c r="A235" s="94">
        <v>3356110</v>
      </c>
      <c r="B235" s="80" t="s">
        <v>498</v>
      </c>
    </row>
    <row r="236" spans="1:2" x14ac:dyDescent="0.25">
      <c r="A236" s="94">
        <v>3356112</v>
      </c>
      <c r="B236" s="80" t="s">
        <v>498</v>
      </c>
    </row>
    <row r="237" spans="1:2" x14ac:dyDescent="0.25">
      <c r="A237" s="94">
        <v>3336460</v>
      </c>
      <c r="B237" s="80" t="s">
        <v>404</v>
      </c>
    </row>
    <row r="238" spans="1:2" x14ac:dyDescent="0.25">
      <c r="A238" s="94">
        <v>3336468</v>
      </c>
      <c r="B238" s="80" t="s">
        <v>404</v>
      </c>
    </row>
    <row r="239" spans="1:2" x14ac:dyDescent="0.25">
      <c r="A239" s="94">
        <v>3335833</v>
      </c>
      <c r="B239" s="97" t="s">
        <v>400</v>
      </c>
    </row>
    <row r="240" spans="1:2" x14ac:dyDescent="0.25">
      <c r="A240" s="94">
        <v>3335837</v>
      </c>
      <c r="B240" s="97" t="s">
        <v>400</v>
      </c>
    </row>
    <row r="241" spans="1:2" x14ac:dyDescent="0.25">
      <c r="A241" s="94">
        <v>3335841</v>
      </c>
      <c r="B241" s="80" t="s">
        <v>400</v>
      </c>
    </row>
    <row r="242" spans="1:2" x14ac:dyDescent="0.25">
      <c r="A242" s="94">
        <v>3388655</v>
      </c>
      <c r="B242" s="80" t="s">
        <v>499</v>
      </c>
    </row>
    <row r="243" spans="1:2" x14ac:dyDescent="0.25">
      <c r="A243" s="94">
        <v>3388656</v>
      </c>
      <c r="B243" s="80" t="s">
        <v>499</v>
      </c>
    </row>
    <row r="244" spans="1:2" x14ac:dyDescent="0.25">
      <c r="A244" s="96">
        <v>3388649</v>
      </c>
      <c r="B244" s="80" t="s">
        <v>499</v>
      </c>
    </row>
    <row r="245" spans="1:2" x14ac:dyDescent="0.25">
      <c r="A245" s="94">
        <v>3388657</v>
      </c>
      <c r="B245" s="80" t="s">
        <v>499</v>
      </c>
    </row>
    <row r="246" spans="1:2" x14ac:dyDescent="0.25">
      <c r="A246" s="94">
        <v>3297708</v>
      </c>
      <c r="B246" s="80" t="s">
        <v>500</v>
      </c>
    </row>
    <row r="247" spans="1:2" x14ac:dyDescent="0.25">
      <c r="A247" s="94">
        <v>3334496</v>
      </c>
      <c r="B247" s="80" t="s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863A-5C50-4465-96D2-EFC75F0C47AC}">
  <dimension ref="A2:B24"/>
  <sheetViews>
    <sheetView workbookViewId="0">
      <selection activeCell="M13" sqref="M13"/>
    </sheetView>
  </sheetViews>
  <sheetFormatPr baseColWidth="10" defaultRowHeight="15" x14ac:dyDescent="0.25"/>
  <sheetData>
    <row r="2" spans="1:2" x14ac:dyDescent="0.25">
      <c r="A2" s="99">
        <v>3070314</v>
      </c>
      <c r="B2" t="str">
        <f>VLOOKUP(A2,Hoja4!$A$2:$B$247,2,FALSE)</f>
        <v>JESUS ANTONIO FIGUEROA GUERRERO</v>
      </c>
    </row>
    <row r="3" spans="1:2" x14ac:dyDescent="0.25">
      <c r="A3" s="99">
        <v>3070315</v>
      </c>
      <c r="B3" t="str">
        <f>VLOOKUP(A3,Hoja4!$A$2:$B$247,2,FALSE)</f>
        <v>JESUS ANTONIO FIGUEROA GUERRERO</v>
      </c>
    </row>
    <row r="4" spans="1:2" x14ac:dyDescent="0.25">
      <c r="A4" s="98">
        <v>3070316</v>
      </c>
      <c r="B4" t="str">
        <f>VLOOKUP(A4,Hoja4!$A$2:$B$247,2,FALSE)</f>
        <v>CAMILO ERNESTO PARRA LOPEZ</v>
      </c>
    </row>
    <row r="5" spans="1:2" x14ac:dyDescent="0.25">
      <c r="A5" s="98">
        <v>3070317</v>
      </c>
      <c r="B5" t="str">
        <f>VLOOKUP(A5,Hoja4!$A$2:$B$247,2,FALSE)</f>
        <v>CAMILO ERNESTO PARRA LOPEZ</v>
      </c>
    </row>
    <row r="6" spans="1:2" x14ac:dyDescent="0.25">
      <c r="A6" s="98">
        <v>3070318</v>
      </c>
      <c r="B6" t="str">
        <f>VLOOKUP(A6,Hoja4!$A$2:$B$247,2,FALSE)</f>
        <v>CAMILO ERNESTO PARRA LOPEZ</v>
      </c>
    </row>
    <row r="7" spans="1:2" x14ac:dyDescent="0.25">
      <c r="A7" s="98">
        <v>3070319</v>
      </c>
      <c r="B7" t="str">
        <f>VLOOKUP(A7,Hoja4!$A$2:$B$247,2,FALSE)</f>
        <v>CAMILO ERNESTO PARRA LOPEZ</v>
      </c>
    </row>
    <row r="8" spans="1:2" x14ac:dyDescent="0.25">
      <c r="A8" s="98">
        <v>3070320</v>
      </c>
      <c r="B8" t="str">
        <f>VLOOKUP(A8,Hoja4!$A$2:$B$247,2,FALSE)</f>
        <v>FERNANDO FORERO GOMEZ</v>
      </c>
    </row>
    <row r="9" spans="1:2" x14ac:dyDescent="0.25">
      <c r="A9" s="98">
        <v>3070321</v>
      </c>
      <c r="B9" t="str">
        <f>VLOOKUP(A9,Hoja4!$A$2:$B$247,2,FALSE)</f>
        <v>FERNANDO FORERO GOMEZ</v>
      </c>
    </row>
    <row r="10" spans="1:2" x14ac:dyDescent="0.25">
      <c r="A10" s="98">
        <v>3070322</v>
      </c>
      <c r="B10" t="str">
        <f>VLOOKUP(A10,Hoja4!$A$2:$B$247,2,FALSE)</f>
        <v>FRANCISCO ARNALDO VARGAS BERMUDEZ</v>
      </c>
    </row>
    <row r="11" spans="1:2" x14ac:dyDescent="0.25">
      <c r="A11" s="98">
        <v>3070323</v>
      </c>
      <c r="B11" t="str">
        <f>VLOOKUP(A11,Hoja4!$A$2:$B$247,2,FALSE)</f>
        <v>FRANCISCO ARNALDO VARGAS BERMUDEZ</v>
      </c>
    </row>
    <row r="12" spans="1:2" x14ac:dyDescent="0.25">
      <c r="A12" s="98">
        <v>3070324</v>
      </c>
      <c r="B12" t="str">
        <f>VLOOKUP(A12,Hoja4!$A$2:$B$247,2,FALSE)</f>
        <v>FRANCISCO ARNALDO VARGAS BERMUDEZ</v>
      </c>
    </row>
    <row r="13" spans="1:2" x14ac:dyDescent="0.25">
      <c r="A13" s="98">
        <v>3070325</v>
      </c>
      <c r="B13" t="str">
        <f>VLOOKUP(A13,Hoja4!$A$2:$B$247,2,FALSE)</f>
        <v>FRANCISCO ARNALDO VARGAS BERMUDEZ</v>
      </c>
    </row>
    <row r="14" spans="1:2" x14ac:dyDescent="0.25">
      <c r="A14" s="99">
        <v>3070326</v>
      </c>
      <c r="B14" t="str">
        <f>VLOOKUP(A14,Hoja4!$A$2:$B$247,2,FALSE)</f>
        <v xml:space="preserve">FERNANDO GONZALEZ GARCIA </v>
      </c>
    </row>
    <row r="15" spans="1:2" x14ac:dyDescent="0.25">
      <c r="A15" s="98">
        <v>3118311</v>
      </c>
      <c r="B15" t="str">
        <f>VLOOKUP(A15,Hoja4!$A$2:$B$247,2,FALSE)</f>
        <v>ANDRES RUBIANO CUCARIAN</v>
      </c>
    </row>
    <row r="16" spans="1:2" x14ac:dyDescent="0.25">
      <c r="A16" s="98">
        <v>3118491</v>
      </c>
      <c r="B16" t="str">
        <f>VLOOKUP(A16,Hoja4!$A$2:$B$247,2,FALSE)</f>
        <v>ANDRES RUBIANO CUCARIAN</v>
      </c>
    </row>
    <row r="17" spans="1:2" x14ac:dyDescent="0.25">
      <c r="A17" s="98">
        <v>3118492</v>
      </c>
      <c r="B17" t="str">
        <f>VLOOKUP(A17,Hoja4!$A$2:$B$247,2,FALSE)</f>
        <v>ANDRES RUBIANO CUCARIAN</v>
      </c>
    </row>
    <row r="18" spans="1:2" x14ac:dyDescent="0.25">
      <c r="A18" s="98">
        <v>3118493</v>
      </c>
      <c r="B18" t="str">
        <f>VLOOKUP(A18,Hoja4!$A$2:$B$247,2,FALSE)</f>
        <v>ANDRES RUBIANO CUCARIAN</v>
      </c>
    </row>
    <row r="19" spans="1:2" x14ac:dyDescent="0.25">
      <c r="A19" s="98">
        <v>3118494</v>
      </c>
      <c r="B19" t="str">
        <f>VLOOKUP(A19,Hoja4!$A$2:$B$247,2,FALSE)</f>
        <v>ALEX EDUARDO ZAMBRANO PEREZ        </v>
      </c>
    </row>
    <row r="20" spans="1:2" x14ac:dyDescent="0.25">
      <c r="A20" s="98">
        <v>3118495</v>
      </c>
      <c r="B20" t="str">
        <f>VLOOKUP(A20,Hoja4!$A$2:$B$247,2,FALSE)</f>
        <v>ALEX EDUARDO ZAMBRANO PEREZ        </v>
      </c>
    </row>
    <row r="21" spans="1:2" x14ac:dyDescent="0.25">
      <c r="A21" s="98">
        <v>3118496</v>
      </c>
      <c r="B21" t="str">
        <f>VLOOKUP(A21,Hoja4!$A$2:$B$247,2,FALSE)</f>
        <v>ALEX EDUARDO ZAMBRANO PEREZ        </v>
      </c>
    </row>
    <row r="22" spans="1:2" x14ac:dyDescent="0.25">
      <c r="A22" s="98">
        <v>3118497</v>
      </c>
      <c r="B22" t="str">
        <f>VLOOKUP(A22,Hoja4!$A$2:$B$247,2,FALSE)</f>
        <v>EDUER PABON MORALES</v>
      </c>
    </row>
    <row r="23" spans="1:2" x14ac:dyDescent="0.25">
      <c r="A23" s="98">
        <v>3118498</v>
      </c>
      <c r="B23" t="str">
        <f>VLOOKUP(A23,Hoja4!$A$2:$B$247,2,FALSE)</f>
        <v>EDUER PABON MORALES</v>
      </c>
    </row>
    <row r="24" spans="1:2" x14ac:dyDescent="0.25">
      <c r="A24" s="99">
        <v>3118499</v>
      </c>
      <c r="B24" t="str">
        <f>VLOOKUP(A24,Hoja4!$A$2:$B$247,2,FALSE)</f>
        <v>EDUER PABON MORALES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BDC9-A616-497B-A802-A771791E952C}">
  <dimension ref="A1"/>
  <sheetViews>
    <sheetView workbookViewId="0">
      <selection activeCell="D35" sqref="D3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Consultar</vt:lpstr>
      <vt:lpstr>Hoja6</vt:lpstr>
      <vt:lpstr>Hoja7</vt:lpstr>
      <vt:lpstr>Hoja3</vt:lpstr>
      <vt:lpstr>PE04</vt:lpstr>
      <vt:lpstr>Hoja4</vt:lpstr>
      <vt:lpstr>Hoja5</vt:lpstr>
      <vt:lpstr>Hoja8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contratodeaprendizajecsf</dc:creator>
  <cp:keywords/>
  <dc:description/>
  <cp:lastModifiedBy>Jeison Darley Silva Urbano</cp:lastModifiedBy>
  <cp:revision/>
  <dcterms:created xsi:type="dcterms:W3CDTF">2026-01-21T21:19:50Z</dcterms:created>
  <dcterms:modified xsi:type="dcterms:W3CDTF">2026-04-08T21:25:51Z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2026-01-22T13:45:30Z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18ab4806-f006-46b3-8366-a4a74f411c2a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